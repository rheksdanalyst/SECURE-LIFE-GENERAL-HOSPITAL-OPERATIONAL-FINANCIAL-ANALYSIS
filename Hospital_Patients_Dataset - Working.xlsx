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REX NATEBOU EMMAN\Documents\DA\1st Individual Project @ FSP2.0\"/>
    </mc:Choice>
  </mc:AlternateContent>
  <xr:revisionPtr revIDLastSave="0" documentId="13_ncr:1_{84C682A8-0492-4129-9C47-85118BDB079D}" xr6:coauthVersionLast="47" xr6:coauthVersionMax="47" xr10:uidLastSave="{00000000-0000-0000-0000-000000000000}"/>
  <bookViews>
    <workbookView xWindow="-110" yWindow="-110" windowWidth="19420" windowHeight="10540" tabRatio="706" activeTab="1" xr2:uid="{5ABBFA4D-F81B-4B53-8BFF-6A9C4B2FE2D1}"/>
  </bookViews>
  <sheets>
    <sheet name="Pivot Table" sheetId="2" r:id="rId1"/>
    <sheet name="Dashboard" sheetId="5" r:id="rId2"/>
    <sheet name="Hospital Patients" sheetId="1" r:id="rId3"/>
  </sheets>
  <definedNames>
    <definedName name="_xlnm._FilterDatabase" localSheetId="2" hidden="1">'Hospital Patients'!$A$1:$P$1001</definedName>
    <definedName name="Slicer_Department">#N/A</definedName>
    <definedName name="Slicer_Diagnosis">#N/A</definedName>
    <definedName name="Slicer_Years__Admission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986" i="1" l="1"/>
  <c r="N986"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2" i="1"/>
  <c r="N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D2" i="1" a="1"/>
  <c r="D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C3" i="2"/>
  <c r="A3" i="2"/>
  <c r="E3"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<sst xmlns="http://schemas.openxmlformats.org/spreadsheetml/2006/main" count="6133" uniqueCount="1793">
  <si>
    <t>Patient ID</t>
  </si>
  <si>
    <t>Patient Name</t>
  </si>
  <si>
    <t>Age</t>
  </si>
  <si>
    <t>Gender</t>
  </si>
  <si>
    <t>Admission Date</t>
  </si>
  <si>
    <t>Discharge Date</t>
  </si>
  <si>
    <t>Department</t>
  </si>
  <si>
    <t>Diagnosis</t>
  </si>
  <si>
    <t>Total Bill Amount</t>
  </si>
  <si>
    <t>Payment Status</t>
  </si>
  <si>
    <t>PAT-3001</t>
  </si>
  <si>
    <t>Thomas Martin</t>
  </si>
  <si>
    <t>Male</t>
  </si>
  <si>
    <t>Cardiology</t>
  </si>
  <si>
    <t>Atrial Fibrillation</t>
  </si>
  <si>
    <t>Paid</t>
  </si>
  <si>
    <t>PAT-3002</t>
  </si>
  <si>
    <t>Betty Thompson</t>
  </si>
  <si>
    <t>Female</t>
  </si>
  <si>
    <t>Angina</t>
  </si>
  <si>
    <t>Pending</t>
  </si>
  <si>
    <t>PAT-3003</t>
  </si>
  <si>
    <t>Lisa Rodriguez</t>
  </si>
  <si>
    <t>Emergency</t>
  </si>
  <si>
    <t>Abdominal Pain</t>
  </si>
  <si>
    <t>Partially Paid</t>
  </si>
  <si>
    <t>PAT-3004</t>
  </si>
  <si>
    <t>Donna Jones</t>
  </si>
  <si>
    <t>Concussion</t>
  </si>
  <si>
    <t>PAT-3005</t>
  </si>
  <si>
    <t>Michael Walker</t>
  </si>
  <si>
    <t>General</t>
  </si>
  <si>
    <t>Flu Complications</t>
  </si>
  <si>
    <t>PAT-3006</t>
  </si>
  <si>
    <t>Kenneth Lewis</t>
  </si>
  <si>
    <t>Diabetes Management</t>
  </si>
  <si>
    <t>PAT-3007</t>
  </si>
  <si>
    <t>Linda Smith</t>
  </si>
  <si>
    <t>Arrhythmia</t>
  </si>
  <si>
    <t>PAT-3008</t>
  </si>
  <si>
    <t>Susan Garcia</t>
  </si>
  <si>
    <t>Severe Allergic Reaction</t>
  </si>
  <si>
    <t>PAT-3009</t>
  </si>
  <si>
    <t>James Jones</t>
  </si>
  <si>
    <t>Anemia</t>
  </si>
  <si>
    <t>PAT-3010</t>
  </si>
  <si>
    <t>Christopher Johnson</t>
  </si>
  <si>
    <t>PAT-3011</t>
  </si>
  <si>
    <t>Daniel Thomas</t>
  </si>
  <si>
    <t>Pediatrics</t>
  </si>
  <si>
    <t>RSV</t>
  </si>
  <si>
    <t>PAT-3012</t>
  </si>
  <si>
    <t>Sandra Smith</t>
  </si>
  <si>
    <t>Dehydration</t>
  </si>
  <si>
    <t>PAT-3013</t>
  </si>
  <si>
    <t>Michael Smith</t>
  </si>
  <si>
    <t>PAT-3014</t>
  </si>
  <si>
    <t>Thomas Taylor</t>
  </si>
  <si>
    <t>PAT-3015</t>
  </si>
  <si>
    <t>Jennifer Williams</t>
  </si>
  <si>
    <t>Orthopedics</t>
  </si>
  <si>
    <t>Rotator Cuff Injury</t>
  </si>
  <si>
    <t>PAT-3016</t>
  </si>
  <si>
    <t>Nancy Lee</t>
  </si>
  <si>
    <t>PAT-3017</t>
  </si>
  <si>
    <t>Kevin Miller</t>
  </si>
  <si>
    <t>PAT-3018</t>
  </si>
  <si>
    <t>Elizabeth Moore</t>
  </si>
  <si>
    <t>PAT-3019</t>
  </si>
  <si>
    <t>Carol Rodriguez</t>
  </si>
  <si>
    <t>Neurology</t>
  </si>
  <si>
    <t>Neuropathy</t>
  </si>
  <si>
    <t>PAT-3020</t>
  </si>
  <si>
    <t>Karen Hernandez</t>
  </si>
  <si>
    <t>Knee Replacement</t>
  </si>
  <si>
    <t>PAT-3021</t>
  </si>
  <si>
    <t>Michael Miller</t>
  </si>
  <si>
    <t>ACL Tear</t>
  </si>
  <si>
    <t>PAT-3022</t>
  </si>
  <si>
    <t>Karen Martinez</t>
  </si>
  <si>
    <t>PAT-3023</t>
  </si>
  <si>
    <t>William Wilson</t>
  </si>
  <si>
    <t>Burns</t>
  </si>
  <si>
    <t>PAT-3024</t>
  </si>
  <si>
    <t>Ashley Young</t>
  </si>
  <si>
    <t>PAT-3025</t>
  </si>
  <si>
    <t>Betty Wilson</t>
  </si>
  <si>
    <t>Gastritis</t>
  </si>
  <si>
    <t>PAT-3026</t>
  </si>
  <si>
    <t>Steven Garcia</t>
  </si>
  <si>
    <t>PAT-3027</t>
  </si>
  <si>
    <t>Paul Taylor</t>
  </si>
  <si>
    <t>PAT-3028</t>
  </si>
  <si>
    <t>Daniel Lopez</t>
  </si>
  <si>
    <t>Multiple Sclerosis</t>
  </si>
  <si>
    <t>PAT-3029</t>
  </si>
  <si>
    <t>Joseph Brown</t>
  </si>
  <si>
    <t>Carpal Tunnel</t>
  </si>
  <si>
    <t>PAT-3030</t>
  </si>
  <si>
    <t>Linda Wilson</t>
  </si>
  <si>
    <t>PAT-3031</t>
  </si>
  <si>
    <t>Emily Moore</t>
  </si>
  <si>
    <t>Heart Failure</t>
  </si>
  <si>
    <t>PAT-3032</t>
  </si>
  <si>
    <t>Sarah Wilson</t>
  </si>
  <si>
    <t>PAT-3033</t>
  </si>
  <si>
    <t>Nancy Clark</t>
  </si>
  <si>
    <t>PAT-3034</t>
  </si>
  <si>
    <t>Kevin Clark</t>
  </si>
  <si>
    <t>PAT-3035</t>
  </si>
  <si>
    <t>Joseph Williams</t>
  </si>
  <si>
    <t>Hypertension</t>
  </si>
  <si>
    <t>PAT-3036</t>
  </si>
  <si>
    <t>Jennifer Jackson</t>
  </si>
  <si>
    <t>Pneumonia</t>
  </si>
  <si>
    <t>PAT-3037</t>
  </si>
  <si>
    <t>Elizabeth Rodriguez</t>
  </si>
  <si>
    <t>Asthma</t>
  </si>
  <si>
    <t>PAT-3038</t>
  </si>
  <si>
    <t>Mark Miller</t>
  </si>
  <si>
    <t>Tonsillitis</t>
  </si>
  <si>
    <t>PAT-3039</t>
  </si>
  <si>
    <t>Kenneth Martinez</t>
  </si>
  <si>
    <t>Ear Infection</t>
  </si>
  <si>
    <t>PAT-3040</t>
  </si>
  <si>
    <t>Karen Young</t>
  </si>
  <si>
    <t>PAT-3041</t>
  </si>
  <si>
    <t>Dorothy Ramirez</t>
  </si>
  <si>
    <t>PAT-3042</t>
  </si>
  <si>
    <t>Donna Williams</t>
  </si>
  <si>
    <t>Allergic Reaction</t>
  </si>
  <si>
    <t>PAT-3043</t>
  </si>
  <si>
    <t>Nancy Harris</t>
  </si>
  <si>
    <t>Hip Fracture</t>
  </si>
  <si>
    <t>PAT-3044</t>
  </si>
  <si>
    <t>PAT-3045</t>
  </si>
  <si>
    <t>Michelle Taylor</t>
  </si>
  <si>
    <t>PAT-3046</t>
  </si>
  <si>
    <t>PAT-3047</t>
  </si>
  <si>
    <t>Elizabeth Harris</t>
  </si>
  <si>
    <t>PAT-3048</t>
  </si>
  <si>
    <t>David Wilson</t>
  </si>
  <si>
    <t>Spinal Disc Herniation</t>
  </si>
  <si>
    <t>PAT-3049</t>
  </si>
  <si>
    <t>Kevin Wilson</t>
  </si>
  <si>
    <t>PAT-3050</t>
  </si>
  <si>
    <t>James Wilson</t>
  </si>
  <si>
    <t>PAT-3051</t>
  </si>
  <si>
    <t>Jennifer Perez</t>
  </si>
  <si>
    <t>PAT-3052</t>
  </si>
  <si>
    <t>Mary Johnson</t>
  </si>
  <si>
    <t>PAT-3053</t>
  </si>
  <si>
    <t>Joseph Thomas</t>
  </si>
  <si>
    <t>PAT-3054</t>
  </si>
  <si>
    <t>Anthony Thomas</t>
  </si>
  <si>
    <t>PAT-3055</t>
  </si>
  <si>
    <t>Donna Clark</t>
  </si>
  <si>
    <t>Parkinson's Disease</t>
  </si>
  <si>
    <t>PAT-3056</t>
  </si>
  <si>
    <t>Andrew Jones</t>
  </si>
  <si>
    <t>PAT-3057</t>
  </si>
  <si>
    <t>Jennifer Martinez</t>
  </si>
  <si>
    <t>PAT-3058</t>
  </si>
  <si>
    <t>Mark Lewis</t>
  </si>
  <si>
    <t>PAT-3059</t>
  </si>
  <si>
    <t>Coronary Artery Disease</t>
  </si>
  <si>
    <t>PAT-3060</t>
  </si>
  <si>
    <t>PAT-3061</t>
  </si>
  <si>
    <t>Jessica Thomas</t>
  </si>
  <si>
    <t>PAT-3062</t>
  </si>
  <si>
    <t>Joshua Lee</t>
  </si>
  <si>
    <t>PAT-3063</t>
  </si>
  <si>
    <t>Linda Lopez</t>
  </si>
  <si>
    <t>PAT-3064</t>
  </si>
  <si>
    <t>PAT-3065</t>
  </si>
  <si>
    <t>Betty Garcia</t>
  </si>
  <si>
    <t>PAT-3066</t>
  </si>
  <si>
    <t>Kenneth Wilson</t>
  </si>
  <si>
    <t>PAT-3067</t>
  </si>
  <si>
    <t>Daniel Anderson</t>
  </si>
  <si>
    <t>PAT-3068</t>
  </si>
  <si>
    <t>Jessica Young</t>
  </si>
  <si>
    <t>PAT-3069</t>
  </si>
  <si>
    <t>Michelle Lee</t>
  </si>
  <si>
    <t>PAT-3070</t>
  </si>
  <si>
    <t>Joseph Johnson</t>
  </si>
  <si>
    <t>PAT-3071</t>
  </si>
  <si>
    <t>Paul White</t>
  </si>
  <si>
    <t>PAT-3072</t>
  </si>
  <si>
    <t>Andrew Young</t>
  </si>
  <si>
    <t>PAT-3073</t>
  </si>
  <si>
    <t>Michelle Wilson</t>
  </si>
  <si>
    <t>PAT-3074</t>
  </si>
  <si>
    <t>Kenneth White</t>
  </si>
  <si>
    <t>Stroke</t>
  </si>
  <si>
    <t>PAT-3075</t>
  </si>
  <si>
    <t>Matthew Clark</t>
  </si>
  <si>
    <t>PAT-3076</t>
  </si>
  <si>
    <t>Elizabeth Lewis</t>
  </si>
  <si>
    <t>PAT-3077</t>
  </si>
  <si>
    <t>Mary Thomas</t>
  </si>
  <si>
    <t>PAT-3078</t>
  </si>
  <si>
    <t>PAT-3079</t>
  </si>
  <si>
    <t>Michelle Perez</t>
  </si>
  <si>
    <t>Fracture</t>
  </si>
  <si>
    <t>PAT-3080</t>
  </si>
  <si>
    <t>Betty Walker</t>
  </si>
  <si>
    <t>PAT-3081</t>
  </si>
  <si>
    <t>Sarah Jackson</t>
  </si>
  <si>
    <t>PAT-3082</t>
  </si>
  <si>
    <t>Jessica Thompson</t>
  </si>
  <si>
    <t>PAT-3083</t>
  </si>
  <si>
    <t>Elizabeth Perez</t>
  </si>
  <si>
    <t>PAT-3084</t>
  </si>
  <si>
    <t>Paul Harris</t>
  </si>
  <si>
    <t>PAT-3085</t>
  </si>
  <si>
    <t>Jessica White</t>
  </si>
  <si>
    <t>PAT-3086</t>
  </si>
  <si>
    <t>Betty Moore</t>
  </si>
  <si>
    <t>PAT-3087</t>
  </si>
  <si>
    <t>Ashley Smith</t>
  </si>
  <si>
    <t>Acute Appendicitis</t>
  </si>
  <si>
    <t>PAT-3088</t>
  </si>
  <si>
    <t>Mark Moore</t>
  </si>
  <si>
    <t>PAT-3089</t>
  </si>
  <si>
    <t>Carol Hernandez</t>
  </si>
  <si>
    <t>PAT-3090</t>
  </si>
  <si>
    <t>Barbara Taylor</t>
  </si>
  <si>
    <t>PAT-3091</t>
  </si>
  <si>
    <t>Lisa Brown</t>
  </si>
  <si>
    <t>PAT-3092</t>
  </si>
  <si>
    <t>Barbara Walker</t>
  </si>
  <si>
    <t>PAT-3093</t>
  </si>
  <si>
    <t>Thomas Hernandez</t>
  </si>
  <si>
    <t>UTI</t>
  </si>
  <si>
    <t>PAT-3094</t>
  </si>
  <si>
    <t>Sarah Young</t>
  </si>
  <si>
    <t>Epilepsy</t>
  </si>
  <si>
    <t>PAT-3095</t>
  </si>
  <si>
    <t>David Anderson</t>
  </si>
  <si>
    <t>PAT-3096</t>
  </si>
  <si>
    <t>Mark Thompson</t>
  </si>
  <si>
    <t>PAT-3097</t>
  </si>
  <si>
    <t>Daniel Garcia</t>
  </si>
  <si>
    <t>PAT-3098</t>
  </si>
  <si>
    <t>Michael Ramirez</t>
  </si>
  <si>
    <t>PAT-3099</t>
  </si>
  <si>
    <t>Linda Robinson</t>
  </si>
  <si>
    <t>PAT-3100</t>
  </si>
  <si>
    <t>PAT-3101</t>
  </si>
  <si>
    <t>Matthew Williams</t>
  </si>
  <si>
    <t>PAT-3102</t>
  </si>
  <si>
    <t>Paul Robinson</t>
  </si>
  <si>
    <t>PAT-3103</t>
  </si>
  <si>
    <t>David Walker</t>
  </si>
  <si>
    <t>PAT-3104</t>
  </si>
  <si>
    <t>Daniel White</t>
  </si>
  <si>
    <t>PAT-3105</t>
  </si>
  <si>
    <t>Daniel Walker</t>
  </si>
  <si>
    <t>PAT-3106</t>
  </si>
  <si>
    <t>Lisa Anderson</t>
  </si>
  <si>
    <t>PAT-3107</t>
  </si>
  <si>
    <t>Steven Clark</t>
  </si>
  <si>
    <t>PAT-3108</t>
  </si>
  <si>
    <t>PAT-3109</t>
  </si>
  <si>
    <t>William Brown</t>
  </si>
  <si>
    <t>PAT-3110</t>
  </si>
  <si>
    <t>Christopher Davis</t>
  </si>
  <si>
    <t>PAT-3111</t>
  </si>
  <si>
    <t>PAT-3112</t>
  </si>
  <si>
    <t>Sandra Jackson</t>
  </si>
  <si>
    <t>PAT-3113</t>
  </si>
  <si>
    <t>Sandra Moore</t>
  </si>
  <si>
    <t>PAT-3114</t>
  </si>
  <si>
    <t>Karen Anderson</t>
  </si>
  <si>
    <t>PAT-3115</t>
  </si>
  <si>
    <t>Paul Lopez</t>
  </si>
  <si>
    <t>PAT-3116</t>
  </si>
  <si>
    <t>Lisa Johnson</t>
  </si>
  <si>
    <t>PAT-3117</t>
  </si>
  <si>
    <t>Kenneth Garcia</t>
  </si>
  <si>
    <t>PAT-3118</t>
  </si>
  <si>
    <t>Emily Williams</t>
  </si>
  <si>
    <t>PAT-3119</t>
  </si>
  <si>
    <t>Sandra Young</t>
  </si>
  <si>
    <t>PAT-3120</t>
  </si>
  <si>
    <t>Robert Moore</t>
  </si>
  <si>
    <t>PAT-3121</t>
  </si>
  <si>
    <t>Kenneth Perez</t>
  </si>
  <si>
    <t>PAT-3122</t>
  </si>
  <si>
    <t>Kevin Lewis</t>
  </si>
  <si>
    <t>PAT-3123</t>
  </si>
  <si>
    <t>Christopher Lewis</t>
  </si>
  <si>
    <t>PAT-3124</t>
  </si>
  <si>
    <t>Kenneth Williams</t>
  </si>
  <si>
    <t>Migraine</t>
  </si>
  <si>
    <t>PAT-3125</t>
  </si>
  <si>
    <t>PAT-3126</t>
  </si>
  <si>
    <t>Linda Walker</t>
  </si>
  <si>
    <t>PAT-3127</t>
  </si>
  <si>
    <t>Sarah Davis</t>
  </si>
  <si>
    <t>PAT-3128</t>
  </si>
  <si>
    <t>Jennifer Clark</t>
  </si>
  <si>
    <t>PAT-3129</t>
  </si>
  <si>
    <t>Sarah Hernandez</t>
  </si>
  <si>
    <t>PAT-3130</t>
  </si>
  <si>
    <t>Elizabeth Garcia</t>
  </si>
  <si>
    <t>PAT-3131</t>
  </si>
  <si>
    <t>Karen Moore</t>
  </si>
  <si>
    <t>PAT-3132</t>
  </si>
  <si>
    <t>James Davis</t>
  </si>
  <si>
    <t>PAT-3133</t>
  </si>
  <si>
    <t>Joshua Martin</t>
  </si>
  <si>
    <t>PAT-3134</t>
  </si>
  <si>
    <t>Susan White</t>
  </si>
  <si>
    <t>PAT-3135</t>
  </si>
  <si>
    <t>Jessica Harris</t>
  </si>
  <si>
    <t>PAT-3136</t>
  </si>
  <si>
    <t>James Brown</t>
  </si>
  <si>
    <t>PAT-3137</t>
  </si>
  <si>
    <t>Jessica Lopez</t>
  </si>
  <si>
    <t>PAT-3138</t>
  </si>
  <si>
    <t>Mary Robinson</t>
  </si>
  <si>
    <t>PAT-3139</t>
  </si>
  <si>
    <t>Matthew Davis</t>
  </si>
  <si>
    <t>PAT-3140</t>
  </si>
  <si>
    <t>Christopher Wilson</t>
  </si>
  <si>
    <t>PAT-3141</t>
  </si>
  <si>
    <t>Karen Williams</t>
  </si>
  <si>
    <t>PAT-3142</t>
  </si>
  <si>
    <t>Jennifer Smith</t>
  </si>
  <si>
    <t>PAT-3143</t>
  </si>
  <si>
    <t>Matthew Garcia</t>
  </si>
  <si>
    <t>Chest Pain</t>
  </si>
  <si>
    <t>PAT-3144</t>
  </si>
  <si>
    <t>Michelle Thomas</t>
  </si>
  <si>
    <t>PAT-3145</t>
  </si>
  <si>
    <t>Robert Miller</t>
  </si>
  <si>
    <t>PAT-3146</t>
  </si>
  <si>
    <t>PAT-3147</t>
  </si>
  <si>
    <t>Barbara Wilson</t>
  </si>
  <si>
    <t>PAT-3148</t>
  </si>
  <si>
    <t>Barbara Jones</t>
  </si>
  <si>
    <t>PAT-3149</t>
  </si>
  <si>
    <t>Lisa Williams</t>
  </si>
  <si>
    <t>PAT-3150</t>
  </si>
  <si>
    <t>Jennifer Young</t>
  </si>
  <si>
    <t>PAT-3151</t>
  </si>
  <si>
    <t>Karen Smith</t>
  </si>
  <si>
    <t>PAT-3152</t>
  </si>
  <si>
    <t>Mark Smith</t>
  </si>
  <si>
    <t>PAT-3153</t>
  </si>
  <si>
    <t>Andrew Martinez</t>
  </si>
  <si>
    <t>PAT-3154</t>
  </si>
  <si>
    <t>Betty Williams</t>
  </si>
  <si>
    <t>PAT-3155</t>
  </si>
  <si>
    <t>Robert Jones</t>
  </si>
  <si>
    <t>PAT-3156</t>
  </si>
  <si>
    <t>David Jones</t>
  </si>
  <si>
    <t>PAT-3157</t>
  </si>
  <si>
    <t>Richard Ramirez</t>
  </si>
  <si>
    <t>PAT-3158</t>
  </si>
  <si>
    <t>PAT-3159</t>
  </si>
  <si>
    <t>Linda Brown</t>
  </si>
  <si>
    <t>PAT-3160</t>
  </si>
  <si>
    <t>Carol Thompson</t>
  </si>
  <si>
    <t>PAT-3161</t>
  </si>
  <si>
    <t>Joseph Jackson</t>
  </si>
  <si>
    <t>PAT-3162</t>
  </si>
  <si>
    <t>Richard Rodriguez</t>
  </si>
  <si>
    <t>PAT-3163</t>
  </si>
  <si>
    <t>PAT-3164</t>
  </si>
  <si>
    <t>Elizabeth Williams</t>
  </si>
  <si>
    <t>PAT-3165</t>
  </si>
  <si>
    <t>Lisa Garcia</t>
  </si>
  <si>
    <t>PAT-3166</t>
  </si>
  <si>
    <t>PAT-3167</t>
  </si>
  <si>
    <t>Steven Thomas</t>
  </si>
  <si>
    <t>Bronchitis</t>
  </si>
  <si>
    <t>PAT-3168</t>
  </si>
  <si>
    <t>Ashley Wilson</t>
  </si>
  <si>
    <t>PAT-3169</t>
  </si>
  <si>
    <t>Carol Garcia</t>
  </si>
  <si>
    <t>PAT-3170</t>
  </si>
  <si>
    <t>Richard Williams</t>
  </si>
  <si>
    <t>PAT-3171</t>
  </si>
  <si>
    <t>Mary Martin</t>
  </si>
  <si>
    <t>PAT-3172</t>
  </si>
  <si>
    <t>Richard Jones</t>
  </si>
  <si>
    <t>PAT-3173</t>
  </si>
  <si>
    <t>Brian Taylor</t>
  </si>
  <si>
    <t>PAT-3174</t>
  </si>
  <si>
    <t>Jessica Hernandez</t>
  </si>
  <si>
    <t>PAT-3175</t>
  </si>
  <si>
    <t>Emily Robinson</t>
  </si>
  <si>
    <t>PAT-3176</t>
  </si>
  <si>
    <t>Christopher White</t>
  </si>
  <si>
    <t>PAT-3177</t>
  </si>
  <si>
    <t>James White</t>
  </si>
  <si>
    <t>PAT-3178</t>
  </si>
  <si>
    <t>Lisa Thompson</t>
  </si>
  <si>
    <t>PAT-3179</t>
  </si>
  <si>
    <t>Ashley Walker</t>
  </si>
  <si>
    <t>PAT-3180</t>
  </si>
  <si>
    <t>Jessica Ramirez</t>
  </si>
  <si>
    <t>PAT-3181</t>
  </si>
  <si>
    <t>Daniel Jackson</t>
  </si>
  <si>
    <t>PAT-3182</t>
  </si>
  <si>
    <t>Emily Clark</t>
  </si>
  <si>
    <t>PAT-3183</t>
  </si>
  <si>
    <t>David White</t>
  </si>
  <si>
    <t>PAT-3184</t>
  </si>
  <si>
    <t>Joshua Garcia</t>
  </si>
  <si>
    <t>PAT-3185</t>
  </si>
  <si>
    <t>Robert Lewis</t>
  </si>
  <si>
    <t>PAT-3186</t>
  </si>
  <si>
    <t>Susan Thomas</t>
  </si>
  <si>
    <t>PAT-3187</t>
  </si>
  <si>
    <t>Barbara White</t>
  </si>
  <si>
    <t>PAT-3188</t>
  </si>
  <si>
    <t>Betty Clark</t>
  </si>
  <si>
    <t>PAT-3189</t>
  </si>
  <si>
    <t>Susan Miller</t>
  </si>
  <si>
    <t>PAT-3190</t>
  </si>
  <si>
    <t>PAT-3191</t>
  </si>
  <si>
    <t>Mary Miller</t>
  </si>
  <si>
    <t>PAT-3192</t>
  </si>
  <si>
    <t>Barbara Garcia</t>
  </si>
  <si>
    <t>PAT-3193</t>
  </si>
  <si>
    <t>Lisa Clark</t>
  </si>
  <si>
    <t>PAT-3194</t>
  </si>
  <si>
    <t>Dorothy White</t>
  </si>
  <si>
    <t>PAT-3195</t>
  </si>
  <si>
    <t>Linda Jackson</t>
  </si>
  <si>
    <t>PAT-3196</t>
  </si>
  <si>
    <t>Anthony Thompson</t>
  </si>
  <si>
    <t>PAT-3197</t>
  </si>
  <si>
    <t>PAT-3198</t>
  </si>
  <si>
    <t>PAT-3199</t>
  </si>
  <si>
    <t>Ashley Moore</t>
  </si>
  <si>
    <t>PAT-3200</t>
  </si>
  <si>
    <t>Joshua Rodriguez</t>
  </si>
  <si>
    <t>PAT-3201</t>
  </si>
  <si>
    <t>Lisa Martin</t>
  </si>
  <si>
    <t>PAT-3202</t>
  </si>
  <si>
    <t>Susan Davis</t>
  </si>
  <si>
    <t>PAT-3203</t>
  </si>
  <si>
    <t>Anthony Anderson</t>
  </si>
  <si>
    <t>PAT-3204</t>
  </si>
  <si>
    <t>Kenneth Jones</t>
  </si>
  <si>
    <t>PAT-3205</t>
  </si>
  <si>
    <t>Daniel Young</t>
  </si>
  <si>
    <t>PAT-3206</t>
  </si>
  <si>
    <t>PAT-3207</t>
  </si>
  <si>
    <t>Ashley Brown</t>
  </si>
  <si>
    <t>PAT-3208</t>
  </si>
  <si>
    <t>Anthony Rodriguez</t>
  </si>
  <si>
    <t>PAT-3209</t>
  </si>
  <si>
    <t>Joshua Moore</t>
  </si>
  <si>
    <t>PAT-3210</t>
  </si>
  <si>
    <t>Barbara Young</t>
  </si>
  <si>
    <t>PAT-3211</t>
  </si>
  <si>
    <t>PAT-3212</t>
  </si>
  <si>
    <t>William Perez</t>
  </si>
  <si>
    <t>PAT-3213</t>
  </si>
  <si>
    <t>PAT-3214</t>
  </si>
  <si>
    <t>Mary Taylor</t>
  </si>
  <si>
    <t>PAT-3215</t>
  </si>
  <si>
    <t>Michelle Garcia</t>
  </si>
  <si>
    <t>PAT-3216</t>
  </si>
  <si>
    <t>Michael Perez</t>
  </si>
  <si>
    <t>PAT-3217</t>
  </si>
  <si>
    <t>Carol White</t>
  </si>
  <si>
    <t>PAT-3218</t>
  </si>
  <si>
    <t>Christopher Perez</t>
  </si>
  <si>
    <t>PAT-3219</t>
  </si>
  <si>
    <t>David Moore</t>
  </si>
  <si>
    <t>PAT-3220</t>
  </si>
  <si>
    <t>Emily Walker</t>
  </si>
  <si>
    <t>PAT-3221</t>
  </si>
  <si>
    <t>Jessica Jackson</t>
  </si>
  <si>
    <t>PAT-3222</t>
  </si>
  <si>
    <t>Thomas Miller</t>
  </si>
  <si>
    <t>PAT-3223</t>
  </si>
  <si>
    <t>Kevin Taylor</t>
  </si>
  <si>
    <t>PAT-3224</t>
  </si>
  <si>
    <t>Richard Robinson</t>
  </si>
  <si>
    <t>PAT-3225</t>
  </si>
  <si>
    <t>Michelle Martinez</t>
  </si>
  <si>
    <t>PAT-3226</t>
  </si>
  <si>
    <t>William Young</t>
  </si>
  <si>
    <t>PAT-3227</t>
  </si>
  <si>
    <t>Richard Smith</t>
  </si>
  <si>
    <t>PAT-3228</t>
  </si>
  <si>
    <t>PAT-3229</t>
  </si>
  <si>
    <t>PAT-3230</t>
  </si>
  <si>
    <t>Joshua Taylor</t>
  </si>
  <si>
    <t>PAT-3231</t>
  </si>
  <si>
    <t>Karen Robinson</t>
  </si>
  <si>
    <t>PAT-3232</t>
  </si>
  <si>
    <t>Daniel Harris</t>
  </si>
  <si>
    <t>PAT-3233</t>
  </si>
  <si>
    <t>Sarah Perez</t>
  </si>
  <si>
    <t>PAT-3234</t>
  </si>
  <si>
    <t>Joseph Robinson</t>
  </si>
  <si>
    <t>PAT-3235</t>
  </si>
  <si>
    <t>Kenneth Anderson</t>
  </si>
  <si>
    <t>PAT-3236</t>
  </si>
  <si>
    <t>Ashley Williams</t>
  </si>
  <si>
    <t>PAT-3237</t>
  </si>
  <si>
    <t>Dorothy Taylor</t>
  </si>
  <si>
    <t>PAT-3238</t>
  </si>
  <si>
    <t>William Williams</t>
  </si>
  <si>
    <t>PAT-3239</t>
  </si>
  <si>
    <t>Ashley Thomas</t>
  </si>
  <si>
    <t>PAT-3240</t>
  </si>
  <si>
    <t>Richard Young</t>
  </si>
  <si>
    <t>PAT-3241</t>
  </si>
  <si>
    <t>PAT-3242</t>
  </si>
  <si>
    <t>Susan Brown</t>
  </si>
  <si>
    <t>PAT-3243</t>
  </si>
  <si>
    <t>PAT-3244</t>
  </si>
  <si>
    <t>PAT-3245</t>
  </si>
  <si>
    <t>Karen Ramirez</t>
  </si>
  <si>
    <t>PAT-3246</t>
  </si>
  <si>
    <t>Joseph Perez</t>
  </si>
  <si>
    <t>PAT-3247</t>
  </si>
  <si>
    <t>Elizabeth Jackson</t>
  </si>
  <si>
    <t>PAT-3248</t>
  </si>
  <si>
    <t>Carol Taylor</t>
  </si>
  <si>
    <t>PAT-3249</t>
  </si>
  <si>
    <t>Robert Walker</t>
  </si>
  <si>
    <t>PAT-3250</t>
  </si>
  <si>
    <t>PAT-3251</t>
  </si>
  <si>
    <t>PAT-3252</t>
  </si>
  <si>
    <t>PAT-3253</t>
  </si>
  <si>
    <t>Andrew Walker</t>
  </si>
  <si>
    <t>PAT-3254</t>
  </si>
  <si>
    <t>Linda Hernandez</t>
  </si>
  <si>
    <t>PAT-3255</t>
  </si>
  <si>
    <t>Mark Clark</t>
  </si>
  <si>
    <t>PAT-3256</t>
  </si>
  <si>
    <t>Brian Wilson</t>
  </si>
  <si>
    <t>PAT-3257</t>
  </si>
  <si>
    <t>Emily Thomas</t>
  </si>
  <si>
    <t>PAT-3258</t>
  </si>
  <si>
    <t>Sandra Brown</t>
  </si>
  <si>
    <t>PAT-3259</t>
  </si>
  <si>
    <t>Dorothy Harris</t>
  </si>
  <si>
    <t>PAT-3260</t>
  </si>
  <si>
    <t>Ashley Rodriguez</t>
  </si>
  <si>
    <t>PAT-3261</t>
  </si>
  <si>
    <t>PAT-3262</t>
  </si>
  <si>
    <t>David Rodriguez</t>
  </si>
  <si>
    <t>PAT-3263</t>
  </si>
  <si>
    <t>Karen Harris</t>
  </si>
  <si>
    <t>PAT-3264</t>
  </si>
  <si>
    <t>PAT-3265</t>
  </si>
  <si>
    <t>Emily Young</t>
  </si>
  <si>
    <t>PAT-3266</t>
  </si>
  <si>
    <t>William Clark</t>
  </si>
  <si>
    <t>PAT-3267</t>
  </si>
  <si>
    <t>James Hernandez</t>
  </si>
  <si>
    <t>PAT-3268</t>
  </si>
  <si>
    <t>Elizabeth White</t>
  </si>
  <si>
    <t>PAT-3269</t>
  </si>
  <si>
    <t>Matthew Martin</t>
  </si>
  <si>
    <t>PAT-3270</t>
  </si>
  <si>
    <t>Nancy Garcia</t>
  </si>
  <si>
    <t>PAT-3271</t>
  </si>
  <si>
    <t>Betty Anderson</t>
  </si>
  <si>
    <t>PAT-3272</t>
  </si>
  <si>
    <t>PAT-3273</t>
  </si>
  <si>
    <t>Mark Martinez</t>
  </si>
  <si>
    <t>PAT-3274</t>
  </si>
  <si>
    <t>PAT-3275</t>
  </si>
  <si>
    <t>PAT-3276</t>
  </si>
  <si>
    <t>Elizabeth Walker</t>
  </si>
  <si>
    <t>PAT-3277</t>
  </si>
  <si>
    <t>Kimberly White</t>
  </si>
  <si>
    <t>PAT-3278</t>
  </si>
  <si>
    <t>Michelle Hernandez</t>
  </si>
  <si>
    <t>PAT-3279</t>
  </si>
  <si>
    <t>Michael Moore</t>
  </si>
  <si>
    <t>PAT-3280</t>
  </si>
  <si>
    <t>Emily Johnson</t>
  </si>
  <si>
    <t>PAT-3281</t>
  </si>
  <si>
    <t>Karen Davis</t>
  </si>
  <si>
    <t>PAT-3282</t>
  </si>
  <si>
    <t>Anthony Wilson</t>
  </si>
  <si>
    <t>PAT-3283</t>
  </si>
  <si>
    <t>PAT-3284</t>
  </si>
  <si>
    <t>Daniel Perez</t>
  </si>
  <si>
    <t>PAT-3285</t>
  </si>
  <si>
    <t>Michelle Harris</t>
  </si>
  <si>
    <t>PAT-3286</t>
  </si>
  <si>
    <t>Robert Johnson</t>
  </si>
  <si>
    <t>PAT-3287</t>
  </si>
  <si>
    <t>Susan Harris</t>
  </si>
  <si>
    <t>PAT-3288</t>
  </si>
  <si>
    <t>Mark Jones</t>
  </si>
  <si>
    <t>PAT-3289</t>
  </si>
  <si>
    <t>Thomas Young</t>
  </si>
  <si>
    <t>PAT-3290</t>
  </si>
  <si>
    <t>Joshua Johnson</t>
  </si>
  <si>
    <t>PAT-3291</t>
  </si>
  <si>
    <t>Joshua Clark</t>
  </si>
  <si>
    <t>PAT-3292</t>
  </si>
  <si>
    <t>Kimberly Rodriguez</t>
  </si>
  <si>
    <t>PAT-3293</t>
  </si>
  <si>
    <t>Nancy Johnson</t>
  </si>
  <si>
    <t>PAT-3294</t>
  </si>
  <si>
    <t>Michelle Martin</t>
  </si>
  <si>
    <t>PAT-3295</t>
  </si>
  <si>
    <t>PAT-3296</t>
  </si>
  <si>
    <t>PAT-3297</t>
  </si>
  <si>
    <t>Thomas Walker</t>
  </si>
  <si>
    <t>PAT-3298</t>
  </si>
  <si>
    <t>Kimberly Smith</t>
  </si>
  <si>
    <t>PAT-3299</t>
  </si>
  <si>
    <t>Betty Robinson</t>
  </si>
  <si>
    <t>PAT-3300</t>
  </si>
  <si>
    <t>Elizabeth Brown</t>
  </si>
  <si>
    <t>PAT-3301</t>
  </si>
  <si>
    <t>Anthony Garcia</t>
  </si>
  <si>
    <t>PAT-3302</t>
  </si>
  <si>
    <t>Barbara Davis</t>
  </si>
  <si>
    <t>PAT-3303</t>
  </si>
  <si>
    <t>William Rodriguez</t>
  </si>
  <si>
    <t>PAT-3304</t>
  </si>
  <si>
    <t>Robert Lee</t>
  </si>
  <si>
    <t>PAT-3305</t>
  </si>
  <si>
    <t>PAT-3306</t>
  </si>
  <si>
    <t>Barbara Clark</t>
  </si>
  <si>
    <t>PAT-3307</t>
  </si>
  <si>
    <t>Matthew Anderson</t>
  </si>
  <si>
    <t>PAT-3308</t>
  </si>
  <si>
    <t>Joseph Moore</t>
  </si>
  <si>
    <t>PAT-3309</t>
  </si>
  <si>
    <t>David Thomas</t>
  </si>
  <si>
    <t>PAT-3310</t>
  </si>
  <si>
    <t>Daniel Johnson</t>
  </si>
  <si>
    <t>PAT-3311</t>
  </si>
  <si>
    <t>Anthony Johnson</t>
  </si>
  <si>
    <t>PAT-3312</t>
  </si>
  <si>
    <t>Carol Brown</t>
  </si>
  <si>
    <t>PAT-3313</t>
  </si>
  <si>
    <t>Mark Brown</t>
  </si>
  <si>
    <t>PAT-3314</t>
  </si>
  <si>
    <t>Elizabeth Taylor</t>
  </si>
  <si>
    <t>PAT-3315</t>
  </si>
  <si>
    <t>Brian Lewis</t>
  </si>
  <si>
    <t>PAT-3316</t>
  </si>
  <si>
    <t>PAT-3317</t>
  </si>
  <si>
    <t>Anthony Walker</t>
  </si>
  <si>
    <t>PAT-3318</t>
  </si>
  <si>
    <t>PAT-3319</t>
  </si>
  <si>
    <t>Brian Ramirez</t>
  </si>
  <si>
    <t>PAT-3320</t>
  </si>
  <si>
    <t>PAT-3321</t>
  </si>
  <si>
    <t>Ashley Jackson</t>
  </si>
  <si>
    <t>PAT-3322</t>
  </si>
  <si>
    <t>James Thomas</t>
  </si>
  <si>
    <t>PAT-3323</t>
  </si>
  <si>
    <t>Susan Lee</t>
  </si>
  <si>
    <t>PAT-3324</t>
  </si>
  <si>
    <t>Betty Jones</t>
  </si>
  <si>
    <t>PAT-3325</t>
  </si>
  <si>
    <t>Lisa Martinez</t>
  </si>
  <si>
    <t>PAT-3326</t>
  </si>
  <si>
    <t>Ashley Martin</t>
  </si>
  <si>
    <t>PAT-3327</t>
  </si>
  <si>
    <t>Kevin Lopez</t>
  </si>
  <si>
    <t>PAT-3328</t>
  </si>
  <si>
    <t>Betty Harris</t>
  </si>
  <si>
    <t>PAT-3329</t>
  </si>
  <si>
    <t>PAT-3330</t>
  </si>
  <si>
    <t>PAT-3331</t>
  </si>
  <si>
    <t>PAT-3332</t>
  </si>
  <si>
    <t>PAT-3333</t>
  </si>
  <si>
    <t>Susan Martin</t>
  </si>
  <si>
    <t>PAT-3334</t>
  </si>
  <si>
    <t>PAT-3335</t>
  </si>
  <si>
    <t>PAT-3336</t>
  </si>
  <si>
    <t>David Clark</t>
  </si>
  <si>
    <t>PAT-3337</t>
  </si>
  <si>
    <t>Andrew Moore</t>
  </si>
  <si>
    <t>PAT-3338</t>
  </si>
  <si>
    <t>PAT-3339</t>
  </si>
  <si>
    <t>PAT-3340</t>
  </si>
  <si>
    <t>PAT-3341</t>
  </si>
  <si>
    <t>Kenneth Smith</t>
  </si>
  <si>
    <t>PAT-3342</t>
  </si>
  <si>
    <t>Sarah Robinson</t>
  </si>
  <si>
    <t>PAT-3343</t>
  </si>
  <si>
    <t>Jennifer Lopez</t>
  </si>
  <si>
    <t>PAT-3344</t>
  </si>
  <si>
    <t>Sandra Robinson</t>
  </si>
  <si>
    <t>PAT-3345</t>
  </si>
  <si>
    <t>PAT-3346</t>
  </si>
  <si>
    <t>Susan Jackson</t>
  </si>
  <si>
    <t>PAT-3347</t>
  </si>
  <si>
    <t>Robert Martin</t>
  </si>
  <si>
    <t>PAT-3348</t>
  </si>
  <si>
    <t>Brian Robinson</t>
  </si>
  <si>
    <t>PAT-3349</t>
  </si>
  <si>
    <t>Andrew Lewis</t>
  </si>
  <si>
    <t>PAT-3350</t>
  </si>
  <si>
    <t>Kenneth Taylor</t>
  </si>
  <si>
    <t>PAT-3351</t>
  </si>
  <si>
    <t>Jennifer Hernandez</t>
  </si>
  <si>
    <t>PAT-3352</t>
  </si>
  <si>
    <t>Sarah Anderson</t>
  </si>
  <si>
    <t>PAT-3353</t>
  </si>
  <si>
    <t>Mary Martinez</t>
  </si>
  <si>
    <t>PAT-3354</t>
  </si>
  <si>
    <t>PAT-3355</t>
  </si>
  <si>
    <t>Lisa Thomas</t>
  </si>
  <si>
    <t>PAT-3356</t>
  </si>
  <si>
    <t>Thomas Williams</t>
  </si>
  <si>
    <t>PAT-3357</t>
  </si>
  <si>
    <t>Ashley Martinez</t>
  </si>
  <si>
    <t>PAT-3358</t>
  </si>
  <si>
    <t>Mary Ramirez</t>
  </si>
  <si>
    <t>PAT-3359</t>
  </si>
  <si>
    <t>Kenneth Miller</t>
  </si>
  <si>
    <t>PAT-3360</t>
  </si>
  <si>
    <t>Emily Hernandez</t>
  </si>
  <si>
    <t>PAT-3361</t>
  </si>
  <si>
    <t>Paul Perez</t>
  </si>
  <si>
    <t>PAT-3362</t>
  </si>
  <si>
    <t>James Harris</t>
  </si>
  <si>
    <t>PAT-3363</t>
  </si>
  <si>
    <t>Kevin Thompson</t>
  </si>
  <si>
    <t>PAT-3364</t>
  </si>
  <si>
    <t>Elizabeth Hernandez</t>
  </si>
  <si>
    <t>PAT-3365</t>
  </si>
  <si>
    <t>Anthony White</t>
  </si>
  <si>
    <t>PAT-3366</t>
  </si>
  <si>
    <t>Richard Lewis</t>
  </si>
  <si>
    <t>PAT-3367</t>
  </si>
  <si>
    <t>Andrew Williams</t>
  </si>
  <si>
    <t>PAT-3368</t>
  </si>
  <si>
    <t>PAT-3369</t>
  </si>
  <si>
    <t>Brian Garcia</t>
  </si>
  <si>
    <t>PAT-3370</t>
  </si>
  <si>
    <t>Joshua Miller</t>
  </si>
  <si>
    <t>PAT-3371</t>
  </si>
  <si>
    <t>Robert Smith</t>
  </si>
  <si>
    <t>PAT-3372</t>
  </si>
  <si>
    <t>Barbara Smith</t>
  </si>
  <si>
    <t>PAT-3373</t>
  </si>
  <si>
    <t>Sandra Jones</t>
  </si>
  <si>
    <t>PAT-3374</t>
  </si>
  <si>
    <t>PAT-3375</t>
  </si>
  <si>
    <t>PAT-3376</t>
  </si>
  <si>
    <t>PAT-3377</t>
  </si>
  <si>
    <t>Betty Young</t>
  </si>
  <si>
    <t>PAT-3378</t>
  </si>
  <si>
    <t>James Jackson</t>
  </si>
  <si>
    <t>PAT-3379</t>
  </si>
  <si>
    <t>PAT-3380</t>
  </si>
  <si>
    <t>Carol Robinson</t>
  </si>
  <si>
    <t>PAT-3381</t>
  </si>
  <si>
    <t>Dorothy Hernandez</t>
  </si>
  <si>
    <t>PAT-3382</t>
  </si>
  <si>
    <t>Steven Martin</t>
  </si>
  <si>
    <t>PAT-3383</t>
  </si>
  <si>
    <t>PAT-3384</t>
  </si>
  <si>
    <t>Sarah Lopez</t>
  </si>
  <si>
    <t>PAT-3385</t>
  </si>
  <si>
    <t>PAT-3386</t>
  </si>
  <si>
    <t>Matthew Martinez</t>
  </si>
  <si>
    <t>PAT-3387</t>
  </si>
  <si>
    <t>Mark Walker</t>
  </si>
  <si>
    <t>PAT-3388</t>
  </si>
  <si>
    <t>Christopher Clark</t>
  </si>
  <si>
    <t>PAT-3389</t>
  </si>
  <si>
    <t>Joseph Lee</t>
  </si>
  <si>
    <t>PAT-3390</t>
  </si>
  <si>
    <t>Steven Wilson</t>
  </si>
  <si>
    <t>PAT-3391</t>
  </si>
  <si>
    <t>PAT-3392</t>
  </si>
  <si>
    <t>Jennifer Harris</t>
  </si>
  <si>
    <t>PAT-3393</t>
  </si>
  <si>
    <t>Karen Thompson</t>
  </si>
  <si>
    <t>PAT-3394</t>
  </si>
  <si>
    <t>Sarah Harris</t>
  </si>
  <si>
    <t>PAT-3395</t>
  </si>
  <si>
    <t>Steven Young</t>
  </si>
  <si>
    <t>PAT-3396</t>
  </si>
  <si>
    <t>Dorothy Clark</t>
  </si>
  <si>
    <t>PAT-3397</t>
  </si>
  <si>
    <t>Anthony Lewis</t>
  </si>
  <si>
    <t>PAT-3398</t>
  </si>
  <si>
    <t>Jennifer Miller</t>
  </si>
  <si>
    <t>PAT-3399</t>
  </si>
  <si>
    <t>Robert White</t>
  </si>
  <si>
    <t>PAT-3400</t>
  </si>
  <si>
    <t>Anthony Clark</t>
  </si>
  <si>
    <t>PAT-3401</t>
  </si>
  <si>
    <t>PAT-3402</t>
  </si>
  <si>
    <t>Elizabeth Martin</t>
  </si>
  <si>
    <t>PAT-3403</t>
  </si>
  <si>
    <t>Sandra Lopez</t>
  </si>
  <si>
    <t>PAT-3404</t>
  </si>
  <si>
    <t>William Lewis</t>
  </si>
  <si>
    <t>PAT-3405</t>
  </si>
  <si>
    <t>William Ramirez</t>
  </si>
  <si>
    <t>PAT-3406</t>
  </si>
  <si>
    <t>Christopher Ramirez</t>
  </si>
  <si>
    <t>PAT-3407</t>
  </si>
  <si>
    <t>Susan Jones</t>
  </si>
  <si>
    <t>PAT-3408</t>
  </si>
  <si>
    <t>Michelle Rodriguez</t>
  </si>
  <si>
    <t>PAT-3409</t>
  </si>
  <si>
    <t>Michael Lopez</t>
  </si>
  <si>
    <t>PAT-3410</t>
  </si>
  <si>
    <t>Emily Thompson</t>
  </si>
  <si>
    <t>PAT-3411</t>
  </si>
  <si>
    <t>Richard Anderson</t>
  </si>
  <si>
    <t>PAT-3412</t>
  </si>
  <si>
    <t>PAT-3413</t>
  </si>
  <si>
    <t>Ashley Lee</t>
  </si>
  <si>
    <t>PAT-3414</t>
  </si>
  <si>
    <t>Karen Lewis</t>
  </si>
  <si>
    <t>PAT-3415</t>
  </si>
  <si>
    <t>Betty Ramirez</t>
  </si>
  <si>
    <t>PAT-3416</t>
  </si>
  <si>
    <t>PAT-3417</t>
  </si>
  <si>
    <t>Thomas Anderson</t>
  </si>
  <si>
    <t>PAT-3418</t>
  </si>
  <si>
    <t>PAT-3419</t>
  </si>
  <si>
    <t>PAT-3420</t>
  </si>
  <si>
    <t>PAT-3421</t>
  </si>
  <si>
    <t>Carol Lewis</t>
  </si>
  <si>
    <t>PAT-3422</t>
  </si>
  <si>
    <t>PAT-3423</t>
  </si>
  <si>
    <t>PAT-3424</t>
  </si>
  <si>
    <t>William Anderson</t>
  </si>
  <si>
    <t>PAT-3425</t>
  </si>
  <si>
    <t>Ashley Ramirez</t>
  </si>
  <si>
    <t>PAT-3426</t>
  </si>
  <si>
    <t>Donna Ramirez</t>
  </si>
  <si>
    <t>PAT-3427</t>
  </si>
  <si>
    <t>PAT-3428</t>
  </si>
  <si>
    <t>Matthew Jones</t>
  </si>
  <si>
    <t>PAT-3429</t>
  </si>
  <si>
    <t>Sandra Harris</t>
  </si>
  <si>
    <t>PAT-3430</t>
  </si>
  <si>
    <t>Linda Garcia</t>
  </si>
  <si>
    <t>PAT-3431</t>
  </si>
  <si>
    <t>James Clark</t>
  </si>
  <si>
    <t>PAT-3432</t>
  </si>
  <si>
    <t>Lisa Jones</t>
  </si>
  <si>
    <t>PAT-3433</t>
  </si>
  <si>
    <t>Barbara Martinez</t>
  </si>
  <si>
    <t>PAT-3434</t>
  </si>
  <si>
    <t>James Young</t>
  </si>
  <si>
    <t>PAT-3435</t>
  </si>
  <si>
    <t>PAT-3436</t>
  </si>
  <si>
    <t>Brian Rodriguez</t>
  </si>
  <si>
    <t>PAT-3437</t>
  </si>
  <si>
    <t>Paul Clark</t>
  </si>
  <si>
    <t>PAT-3438</t>
  </si>
  <si>
    <t>PAT-3439</t>
  </si>
  <si>
    <t>Michael Clark</t>
  </si>
  <si>
    <t>PAT-3440</t>
  </si>
  <si>
    <t>Andrew Garcia</t>
  </si>
  <si>
    <t>PAT-3441</t>
  </si>
  <si>
    <t>Linda Davis</t>
  </si>
  <si>
    <t>PAT-3442</t>
  </si>
  <si>
    <t>Christopher Taylor</t>
  </si>
  <si>
    <t>PAT-3443</t>
  </si>
  <si>
    <t>Robert Rodriguez</t>
  </si>
  <si>
    <t>PAT-3444</t>
  </si>
  <si>
    <t>PAT-3445</t>
  </si>
  <si>
    <t>Kenneth Thomas</t>
  </si>
  <si>
    <t>PAT-3446</t>
  </si>
  <si>
    <t>Joseph Walker</t>
  </si>
  <si>
    <t>PAT-3447</t>
  </si>
  <si>
    <t>Joseph Martin</t>
  </si>
  <si>
    <t>PAT-3448</t>
  </si>
  <si>
    <t>Susan Thompson</t>
  </si>
  <si>
    <t>PAT-3449</t>
  </si>
  <si>
    <t>PAT-3450</t>
  </si>
  <si>
    <t>PAT-3451</t>
  </si>
  <si>
    <t>PAT-3452</t>
  </si>
  <si>
    <t>Kimberly Robinson</t>
  </si>
  <si>
    <t>PAT-3453</t>
  </si>
  <si>
    <t>Richard Moore</t>
  </si>
  <si>
    <t>PAT-3454</t>
  </si>
  <si>
    <t>PAT-3455</t>
  </si>
  <si>
    <t>Donna Lewis</t>
  </si>
  <si>
    <t>PAT-3456</t>
  </si>
  <si>
    <t>Mary Garcia</t>
  </si>
  <si>
    <t>PAT-3457</t>
  </si>
  <si>
    <t>Joshua Young</t>
  </si>
  <si>
    <t>PAT-3458</t>
  </si>
  <si>
    <t>PAT-3459</t>
  </si>
  <si>
    <t>PAT-3460</t>
  </si>
  <si>
    <t>PAT-3461</t>
  </si>
  <si>
    <t>Matthew Lee</t>
  </si>
  <si>
    <t>PAT-3462</t>
  </si>
  <si>
    <t>Lisa Perez</t>
  </si>
  <si>
    <t>PAT-3463</t>
  </si>
  <si>
    <t>Linda Thompson</t>
  </si>
  <si>
    <t>PAT-3464</t>
  </si>
  <si>
    <t>Emily Taylor</t>
  </si>
  <si>
    <t>PAT-3465</t>
  </si>
  <si>
    <t>PAT-3466</t>
  </si>
  <si>
    <t>Joshua White</t>
  </si>
  <si>
    <t>PAT-3467</t>
  </si>
  <si>
    <t>Sarah Martinez</t>
  </si>
  <si>
    <t>PAT-3468</t>
  </si>
  <si>
    <t>Sandra Clark</t>
  </si>
  <si>
    <t>PAT-3469</t>
  </si>
  <si>
    <t>PAT-3470</t>
  </si>
  <si>
    <t>PAT-3471</t>
  </si>
  <si>
    <t>Susan Perez</t>
  </si>
  <si>
    <t>PAT-3472</t>
  </si>
  <si>
    <t>PAT-3473</t>
  </si>
  <si>
    <t>Andrew Jackson</t>
  </si>
  <si>
    <t>PAT-3474</t>
  </si>
  <si>
    <t>Kevin Perez</t>
  </si>
  <si>
    <t>PAT-3475</t>
  </si>
  <si>
    <t>PAT-3476</t>
  </si>
  <si>
    <t>Michelle Jones</t>
  </si>
  <si>
    <t>PAT-3477</t>
  </si>
  <si>
    <t>PAT-3478</t>
  </si>
  <si>
    <t>PAT-3479</t>
  </si>
  <si>
    <t>PAT-3480</t>
  </si>
  <si>
    <t>Kimberly Clark</t>
  </si>
  <si>
    <t>PAT-3481</t>
  </si>
  <si>
    <t>PAT-3482</t>
  </si>
  <si>
    <t>Dorothy Brown</t>
  </si>
  <si>
    <t>PAT-3483</t>
  </si>
  <si>
    <t>PAT-3484</t>
  </si>
  <si>
    <t>Paul Johnson</t>
  </si>
  <si>
    <t>PAT-3485</t>
  </si>
  <si>
    <t>PAT-3486</t>
  </si>
  <si>
    <t>Joseph Clark</t>
  </si>
  <si>
    <t>PAT-3487</t>
  </si>
  <si>
    <t>PAT-3488</t>
  </si>
  <si>
    <t>Nancy Jones</t>
  </si>
  <si>
    <t>PAT-3489</t>
  </si>
  <si>
    <t>Nancy Perez</t>
  </si>
  <si>
    <t>PAT-3490</t>
  </si>
  <si>
    <t>Barbara Brown</t>
  </si>
  <si>
    <t>PAT-3491</t>
  </si>
  <si>
    <t>Matthew Ramirez</t>
  </si>
  <si>
    <t>PAT-3492</t>
  </si>
  <si>
    <t>Sarah Brown</t>
  </si>
  <si>
    <t>PAT-3493</t>
  </si>
  <si>
    <t>Robert Williams</t>
  </si>
  <si>
    <t>PAT-3494</t>
  </si>
  <si>
    <t>Mary Thompson</t>
  </si>
  <si>
    <t>PAT-3495</t>
  </si>
  <si>
    <t>Michael White</t>
  </si>
  <si>
    <t>PAT-3496</t>
  </si>
  <si>
    <t>Michael Robinson</t>
  </si>
  <si>
    <t>PAT-3497</t>
  </si>
  <si>
    <t>Robert Jackson</t>
  </si>
  <si>
    <t>PAT-3498</t>
  </si>
  <si>
    <t>Donna Johnson</t>
  </si>
  <si>
    <t>PAT-3499</t>
  </si>
  <si>
    <t>Donna Martinez</t>
  </si>
  <si>
    <t>PAT-3500</t>
  </si>
  <si>
    <t>PAT-3501</t>
  </si>
  <si>
    <t>Donna Lee</t>
  </si>
  <si>
    <t>PAT-3502</t>
  </si>
  <si>
    <t>Kevin White</t>
  </si>
  <si>
    <t>PAT-3503</t>
  </si>
  <si>
    <t>Lisa Lee</t>
  </si>
  <si>
    <t>PAT-3504</t>
  </si>
  <si>
    <t>Daniel Jones</t>
  </si>
  <si>
    <t>PAT-3505</t>
  </si>
  <si>
    <t>PAT-3506</t>
  </si>
  <si>
    <t>Steven Davis</t>
  </si>
  <si>
    <t>PAT-3507</t>
  </si>
  <si>
    <t>PAT-3508</t>
  </si>
  <si>
    <t>PAT-3509</t>
  </si>
  <si>
    <t>Steven Robinson</t>
  </si>
  <si>
    <t>PAT-3510</t>
  </si>
  <si>
    <t>Lisa Lopez</t>
  </si>
  <si>
    <t>PAT-3511</t>
  </si>
  <si>
    <t>PAT-3512</t>
  </si>
  <si>
    <t>William Jones</t>
  </si>
  <si>
    <t>PAT-3513</t>
  </si>
  <si>
    <t>Michelle Thompson</t>
  </si>
  <si>
    <t>PAT-3514</t>
  </si>
  <si>
    <t>PAT-3515</t>
  </si>
  <si>
    <t>Joshua Williams</t>
  </si>
  <si>
    <t>PAT-3516</t>
  </si>
  <si>
    <t>Lisa Wilson</t>
  </si>
  <si>
    <t>PAT-3517</t>
  </si>
  <si>
    <t>Sandra Williams</t>
  </si>
  <si>
    <t>PAT-3518</t>
  </si>
  <si>
    <t>Steven Johnson</t>
  </si>
  <si>
    <t>PAT-3519</t>
  </si>
  <si>
    <t>PAT-3520</t>
  </si>
  <si>
    <t>Karen Walker</t>
  </si>
  <si>
    <t>PAT-3521</t>
  </si>
  <si>
    <t>Brian Miller</t>
  </si>
  <si>
    <t>PAT-3522</t>
  </si>
  <si>
    <t>Thomas Clark</t>
  </si>
  <si>
    <t>PAT-3523</t>
  </si>
  <si>
    <t>PAT-3524</t>
  </si>
  <si>
    <t>PAT-3525</t>
  </si>
  <si>
    <t>Lisa Davis</t>
  </si>
  <si>
    <t>PAT-3526</t>
  </si>
  <si>
    <t>Kenneth Davis</t>
  </si>
  <si>
    <t>PAT-3527</t>
  </si>
  <si>
    <t>PAT-3528</t>
  </si>
  <si>
    <t>Thomas Garcia</t>
  </si>
  <si>
    <t>PAT-3529</t>
  </si>
  <si>
    <t>Sarah Lee</t>
  </si>
  <si>
    <t>PAT-3530</t>
  </si>
  <si>
    <t>Barbara Thompson</t>
  </si>
  <si>
    <t>PAT-3531</t>
  </si>
  <si>
    <t>PAT-3532</t>
  </si>
  <si>
    <t>PAT-3533</t>
  </si>
  <si>
    <t>Carol Ramirez</t>
  </si>
  <si>
    <t>PAT-3534</t>
  </si>
  <si>
    <t>Robert Clark</t>
  </si>
  <si>
    <t>PAT-3535</t>
  </si>
  <si>
    <t>James Walker</t>
  </si>
  <si>
    <t>PAT-3536</t>
  </si>
  <si>
    <t>Thomas Lewis</t>
  </si>
  <si>
    <t>PAT-3537</t>
  </si>
  <si>
    <t>Elizabeth Robinson</t>
  </si>
  <si>
    <t>PAT-3538</t>
  </si>
  <si>
    <t>Karen Taylor</t>
  </si>
  <si>
    <t>PAT-3539</t>
  </si>
  <si>
    <t>Anthony Jackson</t>
  </si>
  <si>
    <t>PAT-3540</t>
  </si>
  <si>
    <t>Michael Taylor</t>
  </si>
  <si>
    <t>PAT-3541</t>
  </si>
  <si>
    <t>PAT-3542</t>
  </si>
  <si>
    <t>PAT-3543</t>
  </si>
  <si>
    <t>Karen White</t>
  </si>
  <si>
    <t>PAT-3544</t>
  </si>
  <si>
    <t>PAT-3545</t>
  </si>
  <si>
    <t>Carol Wilson</t>
  </si>
  <si>
    <t>PAT-3546</t>
  </si>
  <si>
    <t>Emily Jackson</t>
  </si>
  <si>
    <t>PAT-3547</t>
  </si>
  <si>
    <t>Susan Clark</t>
  </si>
  <si>
    <t>PAT-3548</t>
  </si>
  <si>
    <t>David Johnson</t>
  </si>
  <si>
    <t>PAT-3549</t>
  </si>
  <si>
    <t>Andrew White</t>
  </si>
  <si>
    <t>PAT-3550</t>
  </si>
  <si>
    <t>PAT-3551</t>
  </si>
  <si>
    <t>Jennifer Anderson</t>
  </si>
  <si>
    <t>PAT-3552</t>
  </si>
  <si>
    <t>PAT-3553</t>
  </si>
  <si>
    <t>Donna Jackson</t>
  </si>
  <si>
    <t>PAT-3554</t>
  </si>
  <si>
    <t>Richard Perez</t>
  </si>
  <si>
    <t>PAT-3555</t>
  </si>
  <si>
    <t>Nancy Young</t>
  </si>
  <si>
    <t>PAT-3556</t>
  </si>
  <si>
    <t>James Williams</t>
  </si>
  <si>
    <t>PAT-3557</t>
  </si>
  <si>
    <t>PAT-3558</t>
  </si>
  <si>
    <t>Richard Davis</t>
  </si>
  <si>
    <t>PAT-3559</t>
  </si>
  <si>
    <t>PAT-3560</t>
  </si>
  <si>
    <t>Michelle Brown</t>
  </si>
  <si>
    <t>PAT-3561</t>
  </si>
  <si>
    <t>Mark Lopez</t>
  </si>
  <si>
    <t>PAT-3562</t>
  </si>
  <si>
    <t>PAT-3563</t>
  </si>
  <si>
    <t>Richard Brown</t>
  </si>
  <si>
    <t>PAT-3564</t>
  </si>
  <si>
    <t>David Williams</t>
  </si>
  <si>
    <t>PAT-3565</t>
  </si>
  <si>
    <t>Daniel Williams</t>
  </si>
  <si>
    <t>PAT-3566</t>
  </si>
  <si>
    <t>PAT-3567</t>
  </si>
  <si>
    <t>PAT-3568</t>
  </si>
  <si>
    <t>PAT-3569</t>
  </si>
  <si>
    <t>Kevin Anderson</t>
  </si>
  <si>
    <t>PAT-3570</t>
  </si>
  <si>
    <t>PAT-3571</t>
  </si>
  <si>
    <t>PAT-3572</t>
  </si>
  <si>
    <t>Richard Thomas</t>
  </si>
  <si>
    <t>PAT-3573</t>
  </si>
  <si>
    <t>Betty Jackson</t>
  </si>
  <si>
    <t>PAT-3574</t>
  </si>
  <si>
    <t>PAT-3575</t>
  </si>
  <si>
    <t>PAT-3576</t>
  </si>
  <si>
    <t>Kimberly Moore</t>
  </si>
  <si>
    <t>PAT-3577</t>
  </si>
  <si>
    <t>Kimberly Jones</t>
  </si>
  <si>
    <t>PAT-3578</t>
  </si>
  <si>
    <t>Michael Brown</t>
  </si>
  <si>
    <t>PAT-3579</t>
  </si>
  <si>
    <t>Jennifer Lee</t>
  </si>
  <si>
    <t>PAT-3580</t>
  </si>
  <si>
    <t>Anthony Moore</t>
  </si>
  <si>
    <t>PAT-3581</t>
  </si>
  <si>
    <t>Elizabeth Thomas</t>
  </si>
  <si>
    <t>PAT-3582</t>
  </si>
  <si>
    <t>William Hernandez</t>
  </si>
  <si>
    <t>PAT-3583</t>
  </si>
  <si>
    <t>Barbara Martin</t>
  </si>
  <si>
    <t>PAT-3584</t>
  </si>
  <si>
    <t>Joseph Davis</t>
  </si>
  <si>
    <t>PAT-3585</t>
  </si>
  <si>
    <t>PAT-3586</t>
  </si>
  <si>
    <t>PAT-3587</t>
  </si>
  <si>
    <t>Lisa Smith</t>
  </si>
  <si>
    <t>PAT-3588</t>
  </si>
  <si>
    <t>Anthony Miller</t>
  </si>
  <si>
    <t>PAT-3589</t>
  </si>
  <si>
    <t>William Lopez</t>
  </si>
  <si>
    <t>PAT-3590</t>
  </si>
  <si>
    <t>Thomas Harris</t>
  </si>
  <si>
    <t>PAT-3591</t>
  </si>
  <si>
    <t>Lisa Jackson</t>
  </si>
  <si>
    <t>PAT-3592</t>
  </si>
  <si>
    <t>Andrew Hernandez</t>
  </si>
  <si>
    <t>PAT-3593</t>
  </si>
  <si>
    <t>Christopher Jackson</t>
  </si>
  <si>
    <t>PAT-3594</t>
  </si>
  <si>
    <t>PAT-3595</t>
  </si>
  <si>
    <t>Brian Clark</t>
  </si>
  <si>
    <t>PAT-3596</t>
  </si>
  <si>
    <t>Dorothy Garcia</t>
  </si>
  <si>
    <t>PAT-3597</t>
  </si>
  <si>
    <t>Dorothy Robinson</t>
  </si>
  <si>
    <t>PAT-3598</t>
  </si>
  <si>
    <t>PAT-3599</t>
  </si>
  <si>
    <t>Betty Davis</t>
  </si>
  <si>
    <t>PAT-3600</t>
  </si>
  <si>
    <t>Jessica Anderson</t>
  </si>
  <si>
    <t>PAT-3601</t>
  </si>
  <si>
    <t>Barbara Hernandez</t>
  </si>
  <si>
    <t>PAT-3602</t>
  </si>
  <si>
    <t>Daniel Moore</t>
  </si>
  <si>
    <t>PAT-3603</t>
  </si>
  <si>
    <t>PAT-3604</t>
  </si>
  <si>
    <t>Paul Smith</t>
  </si>
  <si>
    <t>PAT-3605</t>
  </si>
  <si>
    <t>PAT-3606</t>
  </si>
  <si>
    <t>PAT-3607</t>
  </si>
  <si>
    <t>Thomas Perez</t>
  </si>
  <si>
    <t>PAT-3608</t>
  </si>
  <si>
    <t>PAT-3609</t>
  </si>
  <si>
    <t>Dorothy Martin</t>
  </si>
  <si>
    <t>PAT-3610</t>
  </si>
  <si>
    <t>Kimberly Lee</t>
  </si>
  <si>
    <t>PAT-3611</t>
  </si>
  <si>
    <t>PAT-3612</t>
  </si>
  <si>
    <t>Joseph Jones</t>
  </si>
  <si>
    <t>PAT-3613</t>
  </si>
  <si>
    <t>Sarah Moore</t>
  </si>
  <si>
    <t>PAT-3614</t>
  </si>
  <si>
    <t>Paul Hernandez</t>
  </si>
  <si>
    <t>PAT-3615</t>
  </si>
  <si>
    <t>PAT-3616</t>
  </si>
  <si>
    <t>Sandra Lewis</t>
  </si>
  <si>
    <t>PAT-3617</t>
  </si>
  <si>
    <t>Nancy Martinez</t>
  </si>
  <si>
    <t>PAT-3618</t>
  </si>
  <si>
    <t>Daniel Robinson</t>
  </si>
  <si>
    <t>PAT-3619</t>
  </si>
  <si>
    <t>PAT-3620</t>
  </si>
  <si>
    <t>PAT-3621</t>
  </si>
  <si>
    <t>Robert Ramirez</t>
  </si>
  <si>
    <t>PAT-3622</t>
  </si>
  <si>
    <t>PAT-3623</t>
  </si>
  <si>
    <t>Paul Martinez</t>
  </si>
  <si>
    <t>PAT-3624</t>
  </si>
  <si>
    <t>Brian Lopez</t>
  </si>
  <si>
    <t>PAT-3625</t>
  </si>
  <si>
    <t>PAT-3626</t>
  </si>
  <si>
    <t>PAT-3627</t>
  </si>
  <si>
    <t>PAT-3628</t>
  </si>
  <si>
    <t>PAT-3629</t>
  </si>
  <si>
    <t>Sarah Ramirez</t>
  </si>
  <si>
    <t>PAT-3630</t>
  </si>
  <si>
    <t>Michelle Young</t>
  </si>
  <si>
    <t>PAT-3631</t>
  </si>
  <si>
    <t>Daniel Hernandez</t>
  </si>
  <si>
    <t>PAT-3632</t>
  </si>
  <si>
    <t>PAT-3633</t>
  </si>
  <si>
    <t>Emily Jones</t>
  </si>
  <si>
    <t>PAT-3634</t>
  </si>
  <si>
    <t>Donna Garcia</t>
  </si>
  <si>
    <t>PAT-3635</t>
  </si>
  <si>
    <t>PAT-3636</t>
  </si>
  <si>
    <t>Steven Thompson</t>
  </si>
  <si>
    <t>PAT-3637</t>
  </si>
  <si>
    <t>Karen Thomas</t>
  </si>
  <si>
    <t>PAT-3638</t>
  </si>
  <si>
    <t>Thomas Martinez</t>
  </si>
  <si>
    <t>PAT-3639</t>
  </si>
  <si>
    <t>PAT-3640</t>
  </si>
  <si>
    <t>Michael Garcia</t>
  </si>
  <si>
    <t>PAT-3641</t>
  </si>
  <si>
    <t>Kenneth Lee</t>
  </si>
  <si>
    <t>PAT-3642</t>
  </si>
  <si>
    <t>PAT-3643</t>
  </si>
  <si>
    <t>Ashley Jones</t>
  </si>
  <si>
    <t>PAT-3644</t>
  </si>
  <si>
    <t>Thomas Thompson</t>
  </si>
  <si>
    <t>PAT-3645</t>
  </si>
  <si>
    <t>Nancy Davis</t>
  </si>
  <si>
    <t>PAT-3646</t>
  </si>
  <si>
    <t>Michael Johnson</t>
  </si>
  <si>
    <t>PAT-3647</t>
  </si>
  <si>
    <t>PAT-3648</t>
  </si>
  <si>
    <t>PAT-3649</t>
  </si>
  <si>
    <t>Thomas Jones</t>
  </si>
  <si>
    <t>PAT-3650</t>
  </si>
  <si>
    <t>Steven Walker</t>
  </si>
  <si>
    <t>PAT-3651</t>
  </si>
  <si>
    <t>Thomas Robinson</t>
  </si>
  <si>
    <t>PAT-3652</t>
  </si>
  <si>
    <t>Michael Thomas</t>
  </si>
  <si>
    <t>PAT-3653</t>
  </si>
  <si>
    <t>PAT-3654</t>
  </si>
  <si>
    <t>PAT-3655</t>
  </si>
  <si>
    <t>PAT-3656</t>
  </si>
  <si>
    <t>Dorothy Perez</t>
  </si>
  <si>
    <t>PAT-3657</t>
  </si>
  <si>
    <t>PAT-3658</t>
  </si>
  <si>
    <t>PAT-3659</t>
  </si>
  <si>
    <t>PAT-3660</t>
  </si>
  <si>
    <t>Robert Lopez</t>
  </si>
  <si>
    <t>PAT-3661</t>
  </si>
  <si>
    <t>Matthew Hernandez</t>
  </si>
  <si>
    <t>PAT-3662</t>
  </si>
  <si>
    <t>Christopher Thompson</t>
  </si>
  <si>
    <t>PAT-3663</t>
  </si>
  <si>
    <t>Sarah Williams</t>
  </si>
  <si>
    <t>PAT-3664</t>
  </si>
  <si>
    <t>Donna Brown</t>
  </si>
  <si>
    <t>PAT-3665</t>
  </si>
  <si>
    <t>Carol Smith</t>
  </si>
  <si>
    <t>PAT-3666</t>
  </si>
  <si>
    <t>PAT-3667</t>
  </si>
  <si>
    <t>Brian Perez</t>
  </si>
  <si>
    <t>PAT-3668</t>
  </si>
  <si>
    <t>PAT-3669</t>
  </si>
  <si>
    <t>Michelle Anderson</t>
  </si>
  <si>
    <t>PAT-3670</t>
  </si>
  <si>
    <t>PAT-3671</t>
  </si>
  <si>
    <t>PAT-3672</t>
  </si>
  <si>
    <t>PAT-3673</t>
  </si>
  <si>
    <t>Emily Rodriguez</t>
  </si>
  <si>
    <t>PAT-3674</t>
  </si>
  <si>
    <t>James Lewis</t>
  </si>
  <si>
    <t>PAT-3675</t>
  </si>
  <si>
    <t>PAT-3676</t>
  </si>
  <si>
    <t>Carol Clark</t>
  </si>
  <si>
    <t>PAT-3677</t>
  </si>
  <si>
    <t>PAT-3678</t>
  </si>
  <si>
    <t>Christopher Garcia</t>
  </si>
  <si>
    <t>PAT-3679</t>
  </si>
  <si>
    <t>PAT-3680</t>
  </si>
  <si>
    <t>Elizabeth Ramirez</t>
  </si>
  <si>
    <t>PAT-3681</t>
  </si>
  <si>
    <t>Ashley Clark</t>
  </si>
  <si>
    <t>PAT-3682</t>
  </si>
  <si>
    <t>Nancy Thomas</t>
  </si>
  <si>
    <t>PAT-3683</t>
  </si>
  <si>
    <t>PAT-3684</t>
  </si>
  <si>
    <t>Joseph White</t>
  </si>
  <si>
    <t>PAT-3685</t>
  </si>
  <si>
    <t>PAT-3686</t>
  </si>
  <si>
    <t>PAT-3687</t>
  </si>
  <si>
    <t>PAT-3688</t>
  </si>
  <si>
    <t>Paul Jackson</t>
  </si>
  <si>
    <t>PAT-3689</t>
  </si>
  <si>
    <t>Ashley Garcia</t>
  </si>
  <si>
    <t>PAT-3690</t>
  </si>
  <si>
    <t>Thomas Lee</t>
  </si>
  <si>
    <t>PAT-3691</t>
  </si>
  <si>
    <t>David Martinez</t>
  </si>
  <si>
    <t>PAT-3692</t>
  </si>
  <si>
    <t>PAT-3693</t>
  </si>
  <si>
    <t>PAT-3694</t>
  </si>
  <si>
    <t>Carol Anderson</t>
  </si>
  <si>
    <t>PAT-3695</t>
  </si>
  <si>
    <t>Kenneth Rodriguez</t>
  </si>
  <si>
    <t>PAT-3696</t>
  </si>
  <si>
    <t>PAT-3697</t>
  </si>
  <si>
    <t>Matthew Lewis</t>
  </si>
  <si>
    <t>PAT-3698</t>
  </si>
  <si>
    <t>Anthony Taylor</t>
  </si>
  <si>
    <t>PAT-3699</t>
  </si>
  <si>
    <t>Michael Young</t>
  </si>
  <si>
    <t>PAT-3700</t>
  </si>
  <si>
    <t>Joshua Brown</t>
  </si>
  <si>
    <t>PAT-3701</t>
  </si>
  <si>
    <t>Richard Johnson</t>
  </si>
  <si>
    <t>PAT-3702</t>
  </si>
  <si>
    <t>Richard Garcia</t>
  </si>
  <si>
    <t>PAT-3703</t>
  </si>
  <si>
    <t>Nancy Brown</t>
  </si>
  <si>
    <t>PAT-3704</t>
  </si>
  <si>
    <t>Thomas Wilson</t>
  </si>
  <si>
    <t>PAT-3705</t>
  </si>
  <si>
    <t>PAT-3706</t>
  </si>
  <si>
    <t>PAT-3707</t>
  </si>
  <si>
    <t>PAT-3708</t>
  </si>
  <si>
    <t>PAT-3709</t>
  </si>
  <si>
    <t>PAT-3710</t>
  </si>
  <si>
    <t>Thomas Smith</t>
  </si>
  <si>
    <t>PAT-3711</t>
  </si>
  <si>
    <t>PAT-3712</t>
  </si>
  <si>
    <t>Karen Lee</t>
  </si>
  <si>
    <t>PAT-3713</t>
  </si>
  <si>
    <t>PAT-3714</t>
  </si>
  <si>
    <t>David Young</t>
  </si>
  <si>
    <t>PAT-3715</t>
  </si>
  <si>
    <t>James Ramirez</t>
  </si>
  <si>
    <t>PAT-3716</t>
  </si>
  <si>
    <t>Mark White</t>
  </si>
  <si>
    <t>PAT-3717</t>
  </si>
  <si>
    <t>PAT-3718</t>
  </si>
  <si>
    <t>Brian Moore</t>
  </si>
  <si>
    <t>PAT-3719</t>
  </si>
  <si>
    <t>PAT-3720</t>
  </si>
  <si>
    <t>PAT-3721</t>
  </si>
  <si>
    <t>Matthew Wilson</t>
  </si>
  <si>
    <t>PAT-3722</t>
  </si>
  <si>
    <t>Steven Perez</t>
  </si>
  <si>
    <t>PAT-3723</t>
  </si>
  <si>
    <t>Brian Harris</t>
  </si>
  <si>
    <t>PAT-3724</t>
  </si>
  <si>
    <t>PAT-3725</t>
  </si>
  <si>
    <t>Emily White</t>
  </si>
  <si>
    <t>PAT-3726</t>
  </si>
  <si>
    <t>PAT-3727</t>
  </si>
  <si>
    <t>Robert Garcia</t>
  </si>
  <si>
    <t>PAT-3728</t>
  </si>
  <si>
    <t>Lisa Miller</t>
  </si>
  <si>
    <t>PAT-3729</t>
  </si>
  <si>
    <t>PAT-3730</t>
  </si>
  <si>
    <t>James Perez</t>
  </si>
  <si>
    <t>PAT-3731</t>
  </si>
  <si>
    <t>PAT-3732</t>
  </si>
  <si>
    <t>Andrew Clark</t>
  </si>
  <si>
    <t>PAT-3733</t>
  </si>
  <si>
    <t>PAT-3734</t>
  </si>
  <si>
    <t>PAT-3735</t>
  </si>
  <si>
    <t>William Walker</t>
  </si>
  <si>
    <t>PAT-3736</t>
  </si>
  <si>
    <t>PAT-3737</t>
  </si>
  <si>
    <t>PAT-3738</t>
  </si>
  <si>
    <t>Sarah Garcia</t>
  </si>
  <si>
    <t>PAT-3739</t>
  </si>
  <si>
    <t>Ashley Thompson</t>
  </si>
  <si>
    <t>PAT-3740</t>
  </si>
  <si>
    <t>PAT-3741</t>
  </si>
  <si>
    <t>PAT-3742</t>
  </si>
  <si>
    <t>Joseph Martinez</t>
  </si>
  <si>
    <t>PAT-3743</t>
  </si>
  <si>
    <t>PAT-3744</t>
  </si>
  <si>
    <t>PAT-3745</t>
  </si>
  <si>
    <t>PAT-3746</t>
  </si>
  <si>
    <t>PAT-3747</t>
  </si>
  <si>
    <t>PAT-3748</t>
  </si>
  <si>
    <t>PAT-3749</t>
  </si>
  <si>
    <t>PAT-3750</t>
  </si>
  <si>
    <t>PAT-3751</t>
  </si>
  <si>
    <t>PAT-3752</t>
  </si>
  <si>
    <t>PAT-3753</t>
  </si>
  <si>
    <t>PAT-3754</t>
  </si>
  <si>
    <t>Jennifer Lewis</t>
  </si>
  <si>
    <t>PAT-3755</t>
  </si>
  <si>
    <t>Karen Rodriguez</t>
  </si>
  <si>
    <t>PAT-3756</t>
  </si>
  <si>
    <t>PAT-3757</t>
  </si>
  <si>
    <t>PAT-3758</t>
  </si>
  <si>
    <t>Jennifer Taylor</t>
  </si>
  <si>
    <t>PAT-3759</t>
  </si>
  <si>
    <t>Joshua Hernandez</t>
  </si>
  <si>
    <t>PAT-3760</t>
  </si>
  <si>
    <t>PAT-3761</t>
  </si>
  <si>
    <t>Christopher Lee</t>
  </si>
  <si>
    <t>PAT-3762</t>
  </si>
  <si>
    <t>Andrew Robinson</t>
  </si>
  <si>
    <t>PAT-3763</t>
  </si>
  <si>
    <t>Jessica Lee</t>
  </si>
  <si>
    <t>PAT-3764</t>
  </si>
  <si>
    <t>PAT-3765</t>
  </si>
  <si>
    <t>PAT-3766</t>
  </si>
  <si>
    <t>James Johnson</t>
  </si>
  <si>
    <t>PAT-3767</t>
  </si>
  <si>
    <t>PAT-3768</t>
  </si>
  <si>
    <t>PAT-3769</t>
  </si>
  <si>
    <t>Donna Thompson</t>
  </si>
  <si>
    <t>PAT-3770</t>
  </si>
  <si>
    <t>Matthew Brown</t>
  </si>
  <si>
    <t>PAT-3771</t>
  </si>
  <si>
    <t>PAT-3772</t>
  </si>
  <si>
    <t>Betty Rodriguez</t>
  </si>
  <si>
    <t>PAT-3773</t>
  </si>
  <si>
    <t>PAT-3774</t>
  </si>
  <si>
    <t>Robert Hernandez</t>
  </si>
  <si>
    <t>PAT-3775</t>
  </si>
  <si>
    <t>Paul Rodriguez</t>
  </si>
  <si>
    <t>PAT-3776</t>
  </si>
  <si>
    <t>Michael Wilson</t>
  </si>
  <si>
    <t>PAT-3777</t>
  </si>
  <si>
    <t>PAT-3778</t>
  </si>
  <si>
    <t>Brian Davis</t>
  </si>
  <si>
    <t>PAT-3779</t>
  </si>
  <si>
    <t>Kimberly Thompson</t>
  </si>
  <si>
    <t>PAT-3780</t>
  </si>
  <si>
    <t>Mark Harris</t>
  </si>
  <si>
    <t>PAT-3781</t>
  </si>
  <si>
    <t>Elizabeth Lopez</t>
  </si>
  <si>
    <t>PAT-3782</t>
  </si>
  <si>
    <t>PAT-3783</t>
  </si>
  <si>
    <t>Christopher Martin</t>
  </si>
  <si>
    <t>PAT-3784</t>
  </si>
  <si>
    <t>PAT-3785</t>
  </si>
  <si>
    <t>PAT-3786</t>
  </si>
  <si>
    <t>PAT-3787</t>
  </si>
  <si>
    <t>PAT-3788</t>
  </si>
  <si>
    <t>Joshua Jones</t>
  </si>
  <si>
    <t>PAT-3789</t>
  </si>
  <si>
    <t>PAT-3790</t>
  </si>
  <si>
    <t>Kenneth Robinson</t>
  </si>
  <si>
    <t>PAT-3791</t>
  </si>
  <si>
    <t>PAT-3792</t>
  </si>
  <si>
    <t>Emily Garcia</t>
  </si>
  <si>
    <t>PAT-3793</t>
  </si>
  <si>
    <t>PAT-3794</t>
  </si>
  <si>
    <t>PAT-3795</t>
  </si>
  <si>
    <t>Dorothy Thomas</t>
  </si>
  <si>
    <t>PAT-3796</t>
  </si>
  <si>
    <t>Joshua Thomas</t>
  </si>
  <si>
    <t>PAT-3797</t>
  </si>
  <si>
    <t>PAT-3798</t>
  </si>
  <si>
    <t>Elizabeth Miller</t>
  </si>
  <si>
    <t>PAT-3799</t>
  </si>
  <si>
    <t>PAT-3800</t>
  </si>
  <si>
    <t>PAT-3801</t>
  </si>
  <si>
    <t>Matthew Moore</t>
  </si>
  <si>
    <t>PAT-3802</t>
  </si>
  <si>
    <t>PAT-3803</t>
  </si>
  <si>
    <t>PAT-3804</t>
  </si>
  <si>
    <t>Carol Lee</t>
  </si>
  <si>
    <t>PAT-3805</t>
  </si>
  <si>
    <t>PAT-3806</t>
  </si>
  <si>
    <t>PAT-3807</t>
  </si>
  <si>
    <t>PAT-3808</t>
  </si>
  <si>
    <t>Karen Miller</t>
  </si>
  <si>
    <t>PAT-3809</t>
  </si>
  <si>
    <t>Barbara Miller</t>
  </si>
  <si>
    <t>PAT-3810</t>
  </si>
  <si>
    <t>Richard Martinez</t>
  </si>
  <si>
    <t>PAT-3811</t>
  </si>
  <si>
    <t>PAT-3812</t>
  </si>
  <si>
    <t>PAT-3813</t>
  </si>
  <si>
    <t>PAT-3814</t>
  </si>
  <si>
    <t>PAT-3815</t>
  </si>
  <si>
    <t>PAT-3816</t>
  </si>
  <si>
    <t>Barbara Thomas</t>
  </si>
  <si>
    <t>PAT-3817</t>
  </si>
  <si>
    <t>PAT-3818</t>
  </si>
  <si>
    <t>Ashley Perez</t>
  </si>
  <si>
    <t>PAT-3819</t>
  </si>
  <si>
    <t>Jennifer Thompson</t>
  </si>
  <si>
    <t>PAT-3820</t>
  </si>
  <si>
    <t>PAT-3821</t>
  </si>
  <si>
    <t>Jessica Perez</t>
  </si>
  <si>
    <t>PAT-3822</t>
  </si>
  <si>
    <t>PAT-3823</t>
  </si>
  <si>
    <t>PAT-3824</t>
  </si>
  <si>
    <t>PAT-3825</t>
  </si>
  <si>
    <t>PAT-3826</t>
  </si>
  <si>
    <t>PAT-3827</t>
  </si>
  <si>
    <t>Matthew White</t>
  </si>
  <si>
    <t>PAT-3828</t>
  </si>
  <si>
    <t>PAT-3829</t>
  </si>
  <si>
    <t>PAT-3830</t>
  </si>
  <si>
    <t>PAT-3831</t>
  </si>
  <si>
    <t>James Moore</t>
  </si>
  <si>
    <t>PAT-3832</t>
  </si>
  <si>
    <t>Joshua Thompson</t>
  </si>
  <si>
    <t>PAT-3833</t>
  </si>
  <si>
    <t>PAT-3834</t>
  </si>
  <si>
    <t>Jennifer Thomas</t>
  </si>
  <si>
    <t>PAT-3835</t>
  </si>
  <si>
    <t>Daniel Wilson</t>
  </si>
  <si>
    <t>PAT-3836</t>
  </si>
  <si>
    <t>Kimberly Harris</t>
  </si>
  <si>
    <t>PAT-3837</t>
  </si>
  <si>
    <t>PAT-3838</t>
  </si>
  <si>
    <t>PAT-3839</t>
  </si>
  <si>
    <t>Karen Lopez</t>
  </si>
  <si>
    <t>PAT-3840</t>
  </si>
  <si>
    <t>Christopher Brown</t>
  </si>
  <si>
    <t>PAT-3841</t>
  </si>
  <si>
    <t>PAT-3842</t>
  </si>
  <si>
    <t>Joshua Walker</t>
  </si>
  <si>
    <t>PAT-3843</t>
  </si>
  <si>
    <t>PAT-3844</t>
  </si>
  <si>
    <t>William Thomas</t>
  </si>
  <si>
    <t>PAT-3845</t>
  </si>
  <si>
    <t>Joshua Davis</t>
  </si>
  <si>
    <t>PAT-3846</t>
  </si>
  <si>
    <t>PAT-3847</t>
  </si>
  <si>
    <t>Daniel Ramirez</t>
  </si>
  <si>
    <t>PAT-3848</t>
  </si>
  <si>
    <t>PAT-3849</t>
  </si>
  <si>
    <t>Steven Williams</t>
  </si>
  <si>
    <t>PAT-3850</t>
  </si>
  <si>
    <t>PAT-3851</t>
  </si>
  <si>
    <t>Richard Thompson</t>
  </si>
  <si>
    <t>PAT-3852</t>
  </si>
  <si>
    <t>Mark Young</t>
  </si>
  <si>
    <t>PAT-3853</t>
  </si>
  <si>
    <t>Steven Lewis</t>
  </si>
  <si>
    <t>PAT-3854</t>
  </si>
  <si>
    <t>PAT-3855</t>
  </si>
  <si>
    <t>Donna Martin</t>
  </si>
  <si>
    <t>PAT-3856</t>
  </si>
  <si>
    <t>PAT-3857</t>
  </si>
  <si>
    <t>PAT-3858</t>
  </si>
  <si>
    <t>PAT-3859</t>
  </si>
  <si>
    <t>Linda Lewis</t>
  </si>
  <si>
    <t>PAT-3860</t>
  </si>
  <si>
    <t>Kevin Walker</t>
  </si>
  <si>
    <t>PAT-3861</t>
  </si>
  <si>
    <t>Kevin Lee</t>
  </si>
  <si>
    <t>PAT-3862</t>
  </si>
  <si>
    <t>Betty Lopez</t>
  </si>
  <si>
    <t>PAT-3863</t>
  </si>
  <si>
    <t>Kimberly Anderson</t>
  </si>
  <si>
    <t>PAT-3864</t>
  </si>
  <si>
    <t>Sandra Wilson</t>
  </si>
  <si>
    <t>PAT-3865</t>
  </si>
  <si>
    <t>PAT-3866</t>
  </si>
  <si>
    <t>Paul Thomas</t>
  </si>
  <si>
    <t>PAT-3867</t>
  </si>
  <si>
    <t>Dorothy Wilson</t>
  </si>
  <si>
    <t>PAT-3868</t>
  </si>
  <si>
    <t>Karen Jones</t>
  </si>
  <si>
    <t>PAT-3869</t>
  </si>
  <si>
    <t>PAT-3870</t>
  </si>
  <si>
    <t>Brian Jackson</t>
  </si>
  <si>
    <t>PAT-3871</t>
  </si>
  <si>
    <t>PAT-3872</t>
  </si>
  <si>
    <t>PAT-3873</t>
  </si>
  <si>
    <t>James Rodriguez</t>
  </si>
  <si>
    <t>PAT-3874</t>
  </si>
  <si>
    <t>Dorothy Johnson</t>
  </si>
  <si>
    <t>PAT-3875</t>
  </si>
  <si>
    <t>PAT-3876</t>
  </si>
  <si>
    <t>PAT-3877</t>
  </si>
  <si>
    <t>Michelle Ramirez</t>
  </si>
  <si>
    <t>PAT-3878</t>
  </si>
  <si>
    <t>PAT-3879</t>
  </si>
  <si>
    <t>Richard Harris</t>
  </si>
  <si>
    <t>PAT-3880</t>
  </si>
  <si>
    <t>Jennifer Jones</t>
  </si>
  <si>
    <t>PAT-3881</t>
  </si>
  <si>
    <t>Emily Martinez</t>
  </si>
  <si>
    <t>PAT-3882</t>
  </si>
  <si>
    <t>Kevin Thomas</t>
  </si>
  <si>
    <t>PAT-3883</t>
  </si>
  <si>
    <t>Elizabeth Young</t>
  </si>
  <si>
    <t>PAT-3884</t>
  </si>
  <si>
    <t>Steven Jones</t>
  </si>
  <si>
    <t>PAT-3885</t>
  </si>
  <si>
    <t>Elizabeth Lee</t>
  </si>
  <si>
    <t>PAT-3886</t>
  </si>
  <si>
    <t>Donna Harris</t>
  </si>
  <si>
    <t>PAT-3887</t>
  </si>
  <si>
    <t>PAT-3888</t>
  </si>
  <si>
    <t>PAT-3889</t>
  </si>
  <si>
    <t>PAT-3890</t>
  </si>
  <si>
    <t>Sarah Walker</t>
  </si>
  <si>
    <t>PAT-3891</t>
  </si>
  <si>
    <t>Kevin Hernandez</t>
  </si>
  <si>
    <t>PAT-3892</t>
  </si>
  <si>
    <t>Matthew Miller</t>
  </si>
  <si>
    <t>PAT-3893</t>
  </si>
  <si>
    <t>PAT-3894</t>
  </si>
  <si>
    <t>PAT-3895</t>
  </si>
  <si>
    <t>Brian Thomas</t>
  </si>
  <si>
    <t>PAT-3896</t>
  </si>
  <si>
    <t>PAT-3897</t>
  </si>
  <si>
    <t>PAT-3898</t>
  </si>
  <si>
    <t>Barbara Johnson</t>
  </si>
  <si>
    <t>PAT-3899</t>
  </si>
  <si>
    <t>Jessica Williams</t>
  </si>
  <si>
    <t>PAT-3900</t>
  </si>
  <si>
    <t>PAT-3901</t>
  </si>
  <si>
    <t>Betty Lewis</t>
  </si>
  <si>
    <t>PAT-3902</t>
  </si>
  <si>
    <t>PAT-3903</t>
  </si>
  <si>
    <t>Richard Lee</t>
  </si>
  <si>
    <t>PAT-3904</t>
  </si>
  <si>
    <t>PAT-3905</t>
  </si>
  <si>
    <t>Karen Brown</t>
  </si>
  <si>
    <t>PAT-3906</t>
  </si>
  <si>
    <t>Emily Perez</t>
  </si>
  <si>
    <t>PAT-3907</t>
  </si>
  <si>
    <t>PAT-3908</t>
  </si>
  <si>
    <t>PAT-3909</t>
  </si>
  <si>
    <t>Brian White</t>
  </si>
  <si>
    <t>PAT-3910</t>
  </si>
  <si>
    <t>Nancy White</t>
  </si>
  <si>
    <t>PAT-3911</t>
  </si>
  <si>
    <t>PAT-3912</t>
  </si>
  <si>
    <t>PAT-3913</t>
  </si>
  <si>
    <t>PAT-3914</t>
  </si>
  <si>
    <t>PAT-3915</t>
  </si>
  <si>
    <t>Matthew Young</t>
  </si>
  <si>
    <t>PAT-3916</t>
  </si>
  <si>
    <t>Thomas Lopez</t>
  </si>
  <si>
    <t>PAT-3917</t>
  </si>
  <si>
    <t>Ashley Johnson</t>
  </si>
  <si>
    <t>PAT-3918</t>
  </si>
  <si>
    <t>PAT-3919</t>
  </si>
  <si>
    <t>PAT-3920</t>
  </si>
  <si>
    <t>PAT-3921</t>
  </si>
  <si>
    <t>PAT-3922</t>
  </si>
  <si>
    <t>PAT-3923</t>
  </si>
  <si>
    <t>Emily Harris</t>
  </si>
  <si>
    <t>PAT-3924</t>
  </si>
  <si>
    <t>PAT-3925</t>
  </si>
  <si>
    <t>PAT-3926</t>
  </si>
  <si>
    <t>PAT-3927</t>
  </si>
  <si>
    <t>PAT-3928</t>
  </si>
  <si>
    <t>PAT-3929</t>
  </si>
  <si>
    <t>Joshua Jackson</t>
  </si>
  <si>
    <t>PAT-3930</t>
  </si>
  <si>
    <t>Sandra Anderson</t>
  </si>
  <si>
    <t>PAT-3931</t>
  </si>
  <si>
    <t>Jennifer Walker</t>
  </si>
  <si>
    <t>PAT-3932</t>
  </si>
  <si>
    <t>Mark Johnson</t>
  </si>
  <si>
    <t>PAT-3933</t>
  </si>
  <si>
    <t>PAT-3934</t>
  </si>
  <si>
    <t>Mary Young</t>
  </si>
  <si>
    <t>PAT-3935</t>
  </si>
  <si>
    <t>PAT-3936</t>
  </si>
  <si>
    <t>PAT-3937</t>
  </si>
  <si>
    <t>PAT-3938</t>
  </si>
  <si>
    <t>Michael Jones</t>
  </si>
  <si>
    <t>PAT-3939</t>
  </si>
  <si>
    <t>Richard Wilson</t>
  </si>
  <si>
    <t>PAT-3940</t>
  </si>
  <si>
    <t>Robert Perez</t>
  </si>
  <si>
    <t>PAT-3941</t>
  </si>
  <si>
    <t>PAT-3942</t>
  </si>
  <si>
    <t>PAT-3943</t>
  </si>
  <si>
    <t>Barbara Jackson</t>
  </si>
  <si>
    <t>PAT-3944</t>
  </si>
  <si>
    <t>Ashley White</t>
  </si>
  <si>
    <t>PAT-3945</t>
  </si>
  <si>
    <t>Andrew Ramirez</t>
  </si>
  <si>
    <t>PAT-3946</t>
  </si>
  <si>
    <t>PAT-3947</t>
  </si>
  <si>
    <t>Kevin Harris</t>
  </si>
  <si>
    <t>PAT-3948</t>
  </si>
  <si>
    <t>PAT-3949</t>
  </si>
  <si>
    <t>Carol Jones</t>
  </si>
  <si>
    <t>PAT-3950</t>
  </si>
  <si>
    <t>PAT-3951</t>
  </si>
  <si>
    <t>Elizabeth Johnson</t>
  </si>
  <si>
    <t>PAT-3952</t>
  </si>
  <si>
    <t>Barbara Harris</t>
  </si>
  <si>
    <t>PAT-3953</t>
  </si>
  <si>
    <t>PAT-3954</t>
  </si>
  <si>
    <t>Sandra Thompson</t>
  </si>
  <si>
    <t>PAT-3955</t>
  </si>
  <si>
    <t>PAT-3956</t>
  </si>
  <si>
    <t>PAT-3957</t>
  </si>
  <si>
    <t>PAT-3958</t>
  </si>
  <si>
    <t>Paul Walker</t>
  </si>
  <si>
    <t>PAT-3959</t>
  </si>
  <si>
    <t>PAT-3960</t>
  </si>
  <si>
    <t>Michelle Robinson</t>
  </si>
  <si>
    <t>PAT-3961</t>
  </si>
  <si>
    <t>PAT-3962</t>
  </si>
  <si>
    <t>Jennifer Martin</t>
  </si>
  <si>
    <t>PAT-3963</t>
  </si>
  <si>
    <t>PAT-3964</t>
  </si>
  <si>
    <t>Mary Jackson</t>
  </si>
  <si>
    <t>PAT-3965</t>
  </si>
  <si>
    <t>Emily Ramirez</t>
  </si>
  <si>
    <t>PAT-3966</t>
  </si>
  <si>
    <t>PAT-3967</t>
  </si>
  <si>
    <t>Karen Martin</t>
  </si>
  <si>
    <t>PAT-3968</t>
  </si>
  <si>
    <t>PAT-3969</t>
  </si>
  <si>
    <t>Donna Thomas</t>
  </si>
  <si>
    <t>PAT-3970</t>
  </si>
  <si>
    <t>Thomas Brown</t>
  </si>
  <si>
    <t>PAT-3971</t>
  </si>
  <si>
    <t>PAT-3972</t>
  </si>
  <si>
    <t>James Garcia</t>
  </si>
  <si>
    <t>PAT-3973</t>
  </si>
  <si>
    <t>Donna Young</t>
  </si>
  <si>
    <t>PAT-3974</t>
  </si>
  <si>
    <t>PAT-3975</t>
  </si>
  <si>
    <t>PAT-3976</t>
  </si>
  <si>
    <t>PAT-3977</t>
  </si>
  <si>
    <t>Carol Thomas</t>
  </si>
  <si>
    <t>PAT-3978</t>
  </si>
  <si>
    <t>PAT-3979</t>
  </si>
  <si>
    <t>PAT-3980</t>
  </si>
  <si>
    <t>PAT-3981</t>
  </si>
  <si>
    <t>PAT-3982</t>
  </si>
  <si>
    <t>Susan Lewis</t>
  </si>
  <si>
    <t>PAT-3983</t>
  </si>
  <si>
    <t>PAT-3984</t>
  </si>
  <si>
    <t>PAT-3985</t>
  </si>
  <si>
    <t>PAT-3986</t>
  </si>
  <si>
    <t>PAT-3987</t>
  </si>
  <si>
    <t>PAT-3988</t>
  </si>
  <si>
    <t>Dorothy Thompson</t>
  </si>
  <si>
    <t>PAT-3989</t>
  </si>
  <si>
    <t>Barbara Rodriguez</t>
  </si>
  <si>
    <t>PAT-3990</t>
  </si>
  <si>
    <t>Steven White</t>
  </si>
  <si>
    <t>PAT-3991</t>
  </si>
  <si>
    <t>PAT-3992</t>
  </si>
  <si>
    <t>Barbara Lee</t>
  </si>
  <si>
    <t>PAT-3993</t>
  </si>
  <si>
    <t>PAT-3994</t>
  </si>
  <si>
    <t>Joseph Hernandez</t>
  </si>
  <si>
    <t>PAT-3995</t>
  </si>
  <si>
    <t>Kimberly Lopez</t>
  </si>
  <si>
    <t>PAT-3996</t>
  </si>
  <si>
    <t>PAT-3997</t>
  </si>
  <si>
    <t>PAT-3998</t>
  </si>
  <si>
    <t>PAT-3999</t>
  </si>
  <si>
    <t>PAT-4000</t>
  </si>
  <si>
    <t>Jennifer Ramirez</t>
  </si>
  <si>
    <t>Length of Stay</t>
  </si>
  <si>
    <t>AGE CATEGORIES</t>
  </si>
  <si>
    <t>AGE RANGE</t>
  </si>
  <si>
    <t>18-44</t>
  </si>
  <si>
    <t>Young Adult</t>
  </si>
  <si>
    <t>45-64</t>
  </si>
  <si>
    <t>Middle Aged</t>
  </si>
  <si>
    <t>65-84</t>
  </si>
  <si>
    <t>Young Old</t>
  </si>
  <si>
    <t>85+</t>
  </si>
  <si>
    <t>Oldest Old</t>
  </si>
  <si>
    <t>0-2</t>
  </si>
  <si>
    <t>Infant</t>
  </si>
  <si>
    <t>Child</t>
  </si>
  <si>
    <t>Adolescent</t>
  </si>
  <si>
    <t>3-11</t>
  </si>
  <si>
    <t>12-17</t>
  </si>
  <si>
    <t>Age Categories</t>
  </si>
  <si>
    <t>Insurance  Coverage</t>
  </si>
  <si>
    <t>Insurance Coverage</t>
  </si>
  <si>
    <t>Est. Insurance Coverage Amount</t>
  </si>
  <si>
    <t>Patient Responsibility</t>
  </si>
  <si>
    <t>Count of Patient ID</t>
  </si>
  <si>
    <t>Total Bill Amt.</t>
  </si>
  <si>
    <t>Average Length of Stay</t>
  </si>
  <si>
    <t>Departments</t>
  </si>
  <si>
    <t>Total Amt. Paid</t>
  </si>
  <si>
    <t>Percentage Bill Amt.</t>
  </si>
  <si>
    <t>Average of Insurance Coverage</t>
  </si>
  <si>
    <t>2024</t>
  </si>
  <si>
    <t>2025</t>
  </si>
  <si>
    <t>Qtr1</t>
  </si>
  <si>
    <t>Qtr2</t>
  </si>
  <si>
    <t>Qtr3</t>
  </si>
  <si>
    <t>Qtr4</t>
  </si>
  <si>
    <t>Jan</t>
  </si>
  <si>
    <t>Feb</t>
  </si>
  <si>
    <t>Mar</t>
  </si>
  <si>
    <t>Apr</t>
  </si>
  <si>
    <t>May</t>
  </si>
  <si>
    <t>Jun</t>
  </si>
  <si>
    <t>Jul</t>
  </si>
  <si>
    <t>Aug</t>
  </si>
  <si>
    <t>Sep</t>
  </si>
  <si>
    <t>Oct</t>
  </si>
  <si>
    <t>Nov</t>
  </si>
  <si>
    <t>Dec</t>
  </si>
  <si>
    <t>Time</t>
  </si>
  <si>
    <t>No. of Patients</t>
  </si>
  <si>
    <t>SECURE LIFE GENERAL HOSPITAL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</si>
</sst>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quot;$&quot;#,##0.00"/>
    <numFmt numFmtId="165" formatCode="yyyy\-mm\-dd;@"/>
    <numFmt numFmtId="166" formatCode="0.0"/>
    <numFmt numFmtId="167" formatCode="&quot;$&quot;#,##0"/>
    <numFmt numFmtId="168" formatCode="_-* #,##0_-;\-* #,##0_-;_-* &quot;-&quot;??_-;_-@_-"/>
  </numFmts>
  <fonts count="6" x14ac:knownFonts="1">
    <font>
      <sz val="11"/>
      <color theme="1"/>
      <name val="Aptos Narrow"/>
      <family val="2"/>
      <scheme val="minor"/>
    </font>
    <font>
      <b/>
      <sz val="11"/>
      <color rgb="FFFFFFFF"/>
      <name val="Aptos Narrow"/>
      <family val="2"/>
      <scheme val="minor"/>
    </font>
    <font>
      <sz val="11"/>
      <color theme="1"/>
      <name val="Aptos Narrow"/>
      <family val="2"/>
      <scheme val="minor"/>
    </font>
    <font>
      <sz val="11"/>
      <color theme="0"/>
      <name val="Segoe UI Black"/>
      <family val="2"/>
    </font>
    <font>
      <sz val="11"/>
      <color theme="1"/>
      <name val="Segoe UI Black"/>
      <family val="2"/>
    </font>
    <font>
      <sz val="22"/>
      <color theme="0"/>
      <name val="Segoe UI Black"/>
      <family val="2"/>
    </font>
  </fonts>
  <fills count="5">
    <fill>
      <patternFill patternType="none"/>
    </fill>
    <fill>
      <patternFill patternType="gray125"/>
    </fill>
    <fill>
      <patternFill patternType="solid">
        <fgColor rgb="FF4472C4"/>
        <bgColor indexed="64"/>
      </patternFill>
    </fill>
    <fill>
      <patternFill patternType="solid">
        <fgColor theme="3"/>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7">
    <xf numFmtId="0" fontId="0" fillId="0" borderId="0" xfId="0"/>
    <xf numFmtId="0" fontId="1" fillId="2" borderId="0" xfId="0" applyFont="1" applyFill="1" applyAlignment="1">
      <alignment horizontal="center"/>
    </xf>
    <xf numFmtId="164" fontId="0" fillId="0" borderId="0" xfId="0" applyNumberFormat="1"/>
    <xf numFmtId="165" fontId="1" fillId="2" borderId="0" xfId="0" applyNumberFormat="1" applyFont="1" applyFill="1" applyAlignment="1">
      <alignment horizontal="center"/>
    </xf>
    <xf numFmtId="165" fontId="0" fillId="0" borderId="0" xfId="0" applyNumberFormat="1"/>
    <xf numFmtId="166" fontId="0" fillId="0" borderId="0" xfId="0" applyNumberFormat="1"/>
    <xf numFmtId="1" fontId="1" fillId="2" borderId="0" xfId="0" applyNumberFormat="1" applyFont="1" applyFill="1" applyAlignment="1">
      <alignment horizontal="center"/>
    </xf>
    <xf numFmtId="1" fontId="0" fillId="0" borderId="0" xfId="0" applyNumberFormat="1"/>
    <xf numFmtId="0" fontId="0" fillId="0" borderId="0" xfId="0" applyNumberFormat="1"/>
    <xf numFmtId="9" fontId="0" fillId="0" borderId="0" xfId="2" applyFont="1"/>
    <xf numFmtId="49" fontId="0" fillId="0" borderId="0" xfId="2" applyNumberFormat="1" applyFont="1"/>
    <xf numFmtId="49" fontId="1" fillId="2" borderId="0" xfId="0" applyNumberFormat="1" applyFont="1" applyFill="1" applyAlignment="1">
      <alignment horizontal="center"/>
    </xf>
    <xf numFmtId="49" fontId="0" fillId="0" borderId="0" xfId="0" applyNumberFormat="1"/>
    <xf numFmtId="10" fontId="1" fillId="2" borderId="0" xfId="2" applyNumberFormat="1" applyFont="1" applyFill="1" applyAlignment="1">
      <alignment horizontal="center"/>
    </xf>
    <xf numFmtId="10" fontId="0" fillId="0" borderId="0" xfId="2" applyNumberFormat="1" applyFont="1"/>
    <xf numFmtId="164" fontId="0" fillId="0" borderId="0" xfId="2" applyNumberFormat="1" applyFont="1"/>
    <xf numFmtId="0" fontId="0" fillId="0" borderId="0" xfId="0" pivotButton="1"/>
    <xf numFmtId="0" fontId="0" fillId="0" borderId="0" xfId="0" applyAlignment="1">
      <alignment horizontal="left"/>
    </xf>
    <xf numFmtId="167" fontId="0" fillId="0" borderId="0" xfId="0" applyNumberFormat="1"/>
    <xf numFmtId="9" fontId="0" fillId="0" borderId="0" xfId="0" applyNumberFormat="1"/>
    <xf numFmtId="0" fontId="0" fillId="0" borderId="0" xfId="0" applyAlignment="1">
      <alignment horizontal="left" indent="1"/>
    </xf>
    <xf numFmtId="0" fontId="0" fillId="0" borderId="0" xfId="0" applyAlignment="1">
      <alignment horizontal="left" indent="2"/>
    </xf>
    <xf numFmtId="168" fontId="0" fillId="0" borderId="0" xfId="1" applyNumberFormat="1" applyFont="1"/>
    <xf numFmtId="0" fontId="3" fillId="3" borderId="0" xfId="0" applyFont="1" applyFill="1"/>
    <xf numFmtId="0" fontId="4" fillId="0" borderId="0" xfId="0" applyFont="1"/>
    <xf numFmtId="0" fontId="3" fillId="4" borderId="0" xfId="0" applyFont="1" applyFill="1"/>
    <xf numFmtId="0" fontId="5" fillId="3" borderId="0" xfId="0" applyFont="1" applyFill="1" applyAlignment="1">
      <alignment horizontal="center" vertical="center"/>
    </xf>
  </cellXfs>
  <cellStyles count="3">
    <cellStyle name="Comma" xfId="1" builtinId="3"/>
    <cellStyle name="Normal" xfId="0" builtinId="0"/>
    <cellStyle name="Per cent" xfId="2" builtinId="5"/>
  </cellStyles>
  <dxfs count="194">
    <dxf>
      <numFmt numFmtId="167" formatCode="&quot;$&quot;#,##0"/>
    </dxf>
    <dxf>
      <numFmt numFmtId="166" formatCode="0.0"/>
    </dxf>
    <dxf>
      <numFmt numFmtId="167" formatCode="&quot;$&quot;#,##0"/>
    </dxf>
    <dxf>
      <numFmt numFmtId="167" formatCode="&quot;$&quot;#,##0"/>
    </dxf>
    <dxf>
      <numFmt numFmtId="1" formatCode="0"/>
    </dxf>
    <dxf>
      <numFmt numFmtId="1" formatCode="0"/>
    </dxf>
    <dxf>
      <numFmt numFmtId="13" formatCode="0%"/>
    </dxf>
    <dxf>
      <numFmt numFmtId="13" formatCode="0%"/>
    </dxf>
    <dxf>
      <numFmt numFmtId="13" formatCode="0%"/>
    </dxf>
    <dxf>
      <numFmt numFmtId="166" formatCode="0.0"/>
    </dxf>
    <dxf>
      <numFmt numFmtId="167" formatCode="&quot;$&quot;#,##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 formatCode="0"/>
    </dxf>
    <dxf>
      <numFmt numFmtId="164" formatCode="&quot;$&quot;#,##0.00"/>
    </dxf>
    <dxf>
      <numFmt numFmtId="164" formatCode="&quot;$&quot;#,##0.00"/>
    </dxf>
    <dxf>
      <numFmt numFmtId="167" formatCode="&quot;$&quot;#,##0"/>
    </dxf>
    <dxf>
      <numFmt numFmtId="1" formatCode="0"/>
    </dxf>
    <dxf>
      <numFmt numFmtId="167" formatCode="&quot;$&quot;#,##0"/>
    </dxf>
    <dxf>
      <numFmt numFmtId="14" formatCode="0.00%"/>
    </dxf>
    <dxf>
      <numFmt numFmtId="13" formatCode="0%"/>
    </dxf>
    <dxf>
      <numFmt numFmtId="167" formatCode="&quot;$&quot;#,##0"/>
    </dxf>
    <dxf>
      <numFmt numFmtId="166" formatCode="0.0"/>
    </dxf>
    <dxf>
      <numFmt numFmtId="14" formatCode="0.00%"/>
    </dxf>
    <dxf>
      <numFmt numFmtId="13" formatCode="0%"/>
    </dxf>
    <dxf>
      <numFmt numFmtId="13" formatCode="0%"/>
    </dxf>
    <dxf>
      <numFmt numFmtId="1" formatCode="0"/>
    </dxf>
    <dxf>
      <numFmt numFmtId="167" formatCode="&quot;$&quot;#,##0"/>
    </dxf>
    <dxf>
      <numFmt numFmtId="166" formatCode="0.0"/>
    </dxf>
    <dxf>
      <numFmt numFmtId="167" formatCode="&quot;$&quot;#,##0"/>
    </dxf>
    <dxf>
      <numFmt numFmtId="167" formatCode="&quot;$&quot;#,##0"/>
    </dxf>
    <dxf>
      <numFmt numFmtId="1" formatCode="0"/>
    </dxf>
    <dxf>
      <numFmt numFmtId="1" formatCode="0"/>
    </dxf>
    <dxf>
      <numFmt numFmtId="13" formatCode="0%"/>
    </dxf>
    <dxf>
      <numFmt numFmtId="13" formatCode="0%"/>
    </dxf>
    <dxf>
      <numFmt numFmtId="13" formatCode="0%"/>
    </dxf>
    <dxf>
      <numFmt numFmtId="166" formatCode="0.0"/>
    </dxf>
    <dxf>
      <numFmt numFmtId="167" formatCode="&quot;$&quot;#,##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 formatCode="0"/>
    </dxf>
    <dxf>
      <numFmt numFmtId="164" formatCode="&quot;$&quot;#,##0.00"/>
    </dxf>
    <dxf>
      <numFmt numFmtId="164" formatCode="&quot;$&quot;#,##0.00"/>
    </dxf>
    <dxf>
      <numFmt numFmtId="167" formatCode="&quot;$&quot;#,##0"/>
    </dxf>
    <dxf>
      <numFmt numFmtId="1" formatCode="0"/>
    </dxf>
    <dxf>
      <numFmt numFmtId="167" formatCode="&quot;$&quot;#,##0"/>
    </dxf>
    <dxf>
      <numFmt numFmtId="14" formatCode="0.00%"/>
    </dxf>
    <dxf>
      <numFmt numFmtId="13" formatCode="0%"/>
    </dxf>
    <dxf>
      <numFmt numFmtId="167" formatCode="&quot;$&quot;#,##0"/>
    </dxf>
    <dxf>
      <numFmt numFmtId="166" formatCode="0.0"/>
    </dxf>
    <dxf>
      <numFmt numFmtId="14" formatCode="0.00%"/>
    </dxf>
    <dxf>
      <numFmt numFmtId="13" formatCode="0%"/>
    </dxf>
    <dxf>
      <numFmt numFmtId="13" formatCode="0%"/>
    </dxf>
    <dxf>
      <numFmt numFmtId="1" formatCode="0"/>
    </dxf>
    <dxf>
      <numFmt numFmtId="167" formatCode="&quot;$&quot;#,##0"/>
    </dxf>
    <dxf>
      <numFmt numFmtId="166" formatCode="0.0"/>
    </dxf>
    <dxf>
      <numFmt numFmtId="167" formatCode="&quot;$&quot;#,##0"/>
    </dxf>
    <dxf>
      <numFmt numFmtId="167" formatCode="&quot;$&quot;#,##0"/>
    </dxf>
    <dxf>
      <numFmt numFmtId="1" formatCode="0"/>
    </dxf>
    <dxf>
      <numFmt numFmtId="1" formatCode="0"/>
    </dxf>
    <dxf>
      <numFmt numFmtId="13" formatCode="0%"/>
    </dxf>
    <dxf>
      <numFmt numFmtId="13" formatCode="0%"/>
    </dxf>
    <dxf>
      <numFmt numFmtId="13" formatCode="0%"/>
    </dxf>
    <dxf>
      <numFmt numFmtId="166" formatCode="0.0"/>
    </dxf>
    <dxf>
      <numFmt numFmtId="167" formatCode="&quot;$&quot;#,##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 formatCode="0"/>
    </dxf>
    <dxf>
      <numFmt numFmtId="164" formatCode="&quot;$&quot;#,##0.00"/>
    </dxf>
    <dxf>
      <numFmt numFmtId="164" formatCode="&quot;$&quot;#,##0.00"/>
    </dxf>
    <dxf>
      <numFmt numFmtId="167" formatCode="&quot;$&quot;#,##0"/>
    </dxf>
    <dxf>
      <numFmt numFmtId="1" formatCode="0"/>
    </dxf>
    <dxf>
      <numFmt numFmtId="167" formatCode="&quot;$&quot;#,##0"/>
    </dxf>
    <dxf>
      <numFmt numFmtId="14" formatCode="0.00%"/>
    </dxf>
    <dxf>
      <numFmt numFmtId="13" formatCode="0%"/>
    </dxf>
    <dxf>
      <numFmt numFmtId="167" formatCode="&quot;$&quot;#,##0"/>
    </dxf>
    <dxf>
      <numFmt numFmtId="166" formatCode="0.0"/>
    </dxf>
    <dxf>
      <numFmt numFmtId="14" formatCode="0.00%"/>
    </dxf>
    <dxf>
      <numFmt numFmtId="13" formatCode="0%"/>
    </dxf>
    <dxf>
      <numFmt numFmtId="13" formatCode="0%"/>
    </dxf>
    <dxf>
      <numFmt numFmtId="1" formatCode="0"/>
    </dxf>
    <dxf>
      <numFmt numFmtId="167" formatCode="&quot;$&quot;#,##0"/>
    </dxf>
    <dxf>
      <numFmt numFmtId="166" formatCode="0.0"/>
    </dxf>
    <dxf>
      <numFmt numFmtId="167" formatCode="&quot;$&quot;#,##0"/>
    </dxf>
    <dxf>
      <numFmt numFmtId="167" formatCode="&quot;$&quot;#,##0"/>
    </dxf>
    <dxf>
      <numFmt numFmtId="1" formatCode="0"/>
    </dxf>
    <dxf>
      <numFmt numFmtId="1" formatCode="0"/>
    </dxf>
    <dxf>
      <numFmt numFmtId="13" formatCode="0%"/>
    </dxf>
    <dxf>
      <numFmt numFmtId="13" formatCode="0%"/>
    </dxf>
    <dxf>
      <numFmt numFmtId="13" formatCode="0%"/>
    </dxf>
    <dxf>
      <numFmt numFmtId="166" formatCode="0.0"/>
    </dxf>
    <dxf>
      <numFmt numFmtId="167" formatCode="&quot;$&quot;#,##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 formatCode="0"/>
    </dxf>
    <dxf>
      <numFmt numFmtId="164" formatCode="&quot;$&quot;#,##0.00"/>
    </dxf>
    <dxf>
      <numFmt numFmtId="164" formatCode="&quot;$&quot;#,##0.00"/>
    </dxf>
    <dxf>
      <numFmt numFmtId="167" formatCode="&quot;$&quot;#,##0"/>
    </dxf>
    <dxf>
      <numFmt numFmtId="1" formatCode="0"/>
    </dxf>
    <dxf>
      <numFmt numFmtId="167" formatCode="&quot;$&quot;#,##0"/>
    </dxf>
    <dxf>
      <numFmt numFmtId="14" formatCode="0.00%"/>
    </dxf>
    <dxf>
      <numFmt numFmtId="13" formatCode="0%"/>
    </dxf>
    <dxf>
      <numFmt numFmtId="167" formatCode="&quot;$&quot;#,##0"/>
    </dxf>
    <dxf>
      <numFmt numFmtId="166" formatCode="0.0"/>
    </dxf>
    <dxf>
      <numFmt numFmtId="14" formatCode="0.00%"/>
    </dxf>
    <dxf>
      <numFmt numFmtId="13" formatCode="0%"/>
    </dxf>
    <dxf>
      <numFmt numFmtId="13" formatCode="0%"/>
    </dxf>
    <dxf>
      <numFmt numFmtId="1" formatCode="0"/>
    </dxf>
    <dxf>
      <numFmt numFmtId="167" formatCode="&quot;$&quot;#,##0"/>
    </dxf>
    <dxf>
      <numFmt numFmtId="166" formatCode="0.0"/>
    </dxf>
    <dxf>
      <numFmt numFmtId="167" formatCode="&quot;$&quot;#,##0"/>
    </dxf>
    <dxf>
      <numFmt numFmtId="167" formatCode="&quot;$&quot;#,##0"/>
    </dxf>
    <dxf>
      <numFmt numFmtId="1" formatCode="0"/>
    </dxf>
    <dxf>
      <numFmt numFmtId="1" formatCode="0"/>
    </dxf>
    <dxf>
      <numFmt numFmtId="13" formatCode="0%"/>
    </dxf>
    <dxf>
      <numFmt numFmtId="13" formatCode="0%"/>
    </dxf>
    <dxf>
      <numFmt numFmtId="13" formatCode="0%"/>
    </dxf>
    <dxf>
      <numFmt numFmtId="166" formatCode="0.0"/>
    </dxf>
    <dxf>
      <numFmt numFmtId="167" formatCode="&quot;$&quot;#,##0"/>
    </dxf>
    <dxf>
      <numFmt numFmtId="1" formatCode="0"/>
    </dxf>
    <dxf>
      <numFmt numFmtId="1" formatCode="0"/>
    </dxf>
    <dxf>
      <numFmt numFmtId="1" formatCode="0"/>
    </dxf>
    <dxf>
      <numFmt numFmtId="167" formatCode="&quot;$&quot;#,##0"/>
    </dxf>
    <dxf>
      <numFmt numFmtId="167" formatCode="&quot;$&quot;#,##0"/>
    </dxf>
    <dxf>
      <numFmt numFmtId="167" formatCode="&quot;$&quot;#,##0"/>
    </dxf>
    <dxf>
      <numFmt numFmtId="167" formatCode="&quot;$&quot;#,##0"/>
    </dxf>
    <dxf>
      <numFmt numFmtId="1" formatCode="0"/>
    </dxf>
    <dxf>
      <numFmt numFmtId="164" formatCode="&quot;$&quot;#,##0.00"/>
    </dxf>
    <dxf>
      <numFmt numFmtId="164" formatCode="&quot;$&quot;#,##0.00"/>
    </dxf>
    <dxf>
      <numFmt numFmtId="167" formatCode="&quot;$&quot;#,##0"/>
    </dxf>
    <dxf>
      <numFmt numFmtId="1" formatCode="0"/>
    </dxf>
    <dxf>
      <numFmt numFmtId="167" formatCode="&quot;$&quot;#,##0"/>
    </dxf>
    <dxf>
      <numFmt numFmtId="14" formatCode="0.00%"/>
    </dxf>
    <dxf>
      <numFmt numFmtId="13" formatCode="0%"/>
    </dxf>
    <dxf>
      <numFmt numFmtId="167" formatCode="&quot;$&quot;#,##0"/>
    </dxf>
    <dxf>
      <numFmt numFmtId="166" formatCode="0.0"/>
    </dxf>
    <dxf>
      <numFmt numFmtId="14" formatCode="0.00%"/>
    </dxf>
    <dxf>
      <numFmt numFmtId="13" formatCode="0%"/>
    </dxf>
    <dxf>
      <numFmt numFmtId="13" formatCode="0%"/>
    </dxf>
    <dxf>
      <numFmt numFmtId="1" formatCode="0"/>
    </dxf>
    <dxf>
      <numFmt numFmtId="167" formatCode="&quot;$&quot;#,##0"/>
    </dxf>
    <dxf>
      <numFmt numFmtId="167" formatCode="&quot;$&quot;#,##0"/>
    </dxf>
    <dxf>
      <numFmt numFmtId="1" formatCode="0"/>
    </dxf>
    <dxf>
      <numFmt numFmtId="1" formatCode="0"/>
    </dxf>
    <dxf>
      <numFmt numFmtId="1" formatCode="0"/>
    </dxf>
    <dxf>
      <numFmt numFmtId="1" formatCode="0"/>
    </dxf>
    <dxf>
      <numFmt numFmtId="167" formatCode="&quot;$&quot;#,##0"/>
    </dxf>
    <dxf>
      <numFmt numFmtId="166" formatCode="0.0"/>
    </dxf>
    <dxf>
      <numFmt numFmtId="167" formatCode="&quot;$&quot;#,##0"/>
    </dxf>
    <dxf>
      <numFmt numFmtId="1" formatCode="0"/>
    </dxf>
    <dxf>
      <numFmt numFmtId="1" formatCode="0"/>
    </dxf>
    <dxf>
      <numFmt numFmtId="13" formatCode="0%"/>
    </dxf>
    <dxf>
      <numFmt numFmtId="13" formatCode="0%"/>
    </dxf>
    <dxf>
      <numFmt numFmtId="14" formatCode="0.00%"/>
    </dxf>
    <dxf>
      <numFmt numFmtId="166" formatCode="0.0"/>
    </dxf>
    <dxf>
      <numFmt numFmtId="167" formatCode="&quot;$&quot;#,##0"/>
    </dxf>
    <dxf>
      <numFmt numFmtId="1" formatCode="0"/>
    </dxf>
    <dxf>
      <numFmt numFmtId="167" formatCode="&quot;$&quot;#,##0"/>
    </dxf>
    <dxf>
      <numFmt numFmtId="167" formatCode="&quot;$&quot;#,##0"/>
    </dxf>
    <dxf>
      <numFmt numFmtId="13" formatCode="0%"/>
    </dxf>
    <dxf>
      <numFmt numFmtId="14" formatCode="0.00%"/>
    </dxf>
    <dxf>
      <numFmt numFmtId="167" formatCode="&quot;$&quot;#,##0"/>
    </dxf>
    <dxf>
      <numFmt numFmtId="167" formatCode="&quot;$&quot;#,##0"/>
    </dxf>
    <dxf>
      <numFmt numFmtId="167" formatCode="&quot;$&quot;#,##0"/>
    </dxf>
    <dxf>
      <numFmt numFmtId="166" formatCode="0.0"/>
    </dxf>
    <dxf>
      <numFmt numFmtId="164" formatCode="&quot;$&quot;#,##0.00"/>
    </dxf>
    <dxf>
      <numFmt numFmtId="164" formatCode="&quot;$&quot;#,##0.00"/>
    </dxf>
    <dxf>
      <numFmt numFmtId="1" formatCode="0"/>
    </dxf>
    <dxf>
      <numFmt numFmtId="167" formatCode="&quot;$&quot;#,##0"/>
    </dxf>
    <dxf>
      <numFmt numFmtId="13" formatCode="0%"/>
    </dxf>
    <dxf>
      <numFmt numFmtId="13" formatCode="0%"/>
    </dxf>
    <dxf>
      <numFmt numFmtId="13" formatCode="0%"/>
    </dxf>
    <dxf>
      <font>
        <b/>
        <i val="0"/>
        <name val="Segoe UI"/>
        <family val="2"/>
        <scheme val="none"/>
      </font>
      <fill>
        <patternFill patternType="darkGray">
          <fgColor theme="4" tint="0.39994506668294322"/>
          <bgColor auto="1"/>
        </patternFill>
      </fill>
      <border>
        <left style="thin">
          <color auto="1"/>
        </left>
        <right style="thin">
          <color auto="1"/>
        </right>
        <top style="thin">
          <color auto="1"/>
        </top>
        <bottom style="thin">
          <color auto="1"/>
        </bottom>
      </border>
    </dxf>
    <dxf>
      <font>
        <b val="0"/>
        <i val="0"/>
        <color theme="3" tint="0.24994659260841701"/>
        <name val="Segoe UI"/>
        <family val="2"/>
        <scheme val="none"/>
      </font>
      <fill>
        <patternFill>
          <bgColor theme="1"/>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457B7484-D77F-4E34-BCAA-8F6AB1D79D34}">
      <tableStyleElement type="wholeTable" dxfId="193"/>
      <tableStyleElement type="headerRow" dxfId="192"/>
    </tableStyle>
  </tableStyles>
  <extLst>
    <ext xmlns:x14="http://schemas.microsoft.com/office/spreadsheetml/2009/9/main" uri="{46F421CA-312F-682f-3DD2-61675219B42D}">
      <x14:dxfs count="1">
        <dxf>
          <font>
            <color theme="0"/>
            <name val="Segoe UI"/>
            <family val="2"/>
            <scheme val="none"/>
          </font>
          <fill>
            <patternFill patternType="darkTrellis">
              <bgColor theme="3"/>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[Hospital_Patients_Dataset - Working.xlsx]Pivot Table!PivotTable14</c:name>
    <c:fmtId val="12"/>
  </c:pivotSource>
  <c:chart>
    <c:title>
      <c:tx>
        <c:rich>
          <a:bodyPr rot="0" spcFirstLastPara="1" vertOverflow="ellipsis" vert="horz" wrap="square" anchor="ctr" anchorCtr="1"/>
          <a:lstStyle/>
          <a:p>
            <a:pPr>
              <a:defRPr sz="1400" b="1" i="0" u="none" strike="noStrike" kern="1200" spc="0" baseline="0">
                <a:solidFill>
                  <a:schemeClr val="tx2"/>
                </a:solidFill>
                <a:latin typeface="Segoe UI" panose="020B0502040204020203" pitchFamily="34" charset="0"/>
                <a:ea typeface="+mn-ea"/>
                <a:cs typeface="Segoe UI" panose="020B0502040204020203" pitchFamily="34" charset="0"/>
              </a:defRPr>
            </a:pPr>
            <a:r>
              <a:rPr lang="en-AS">
                <a:solidFill>
                  <a:schemeClr val="tx2"/>
                </a:solidFill>
              </a:rPr>
              <a:t>NO. OF PATIENTS BY AGE GROUP</a:t>
            </a:r>
            <a:endParaRPr lang="en-GB">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25944612344544"/>
          <c:y val="0.19622562081386657"/>
          <c:w val="0.6680817975274711"/>
          <c:h val="0.55138207316949872"/>
        </c:manualLayout>
      </c:layout>
      <c:barChart>
        <c:barDir val="bar"/>
        <c:grouping val="clustered"/>
        <c:varyColors val="0"/>
        <c:ser>
          <c:idx val="0"/>
          <c:order val="0"/>
          <c:tx>
            <c:strRef>
              <c:f>'Pivot Table'!$H$14</c:f>
              <c:strCache>
                <c:ptCount val="1"/>
                <c:pt idx="0">
                  <c:v>Total</c:v>
                </c:pt>
              </c:strCache>
            </c:strRef>
          </c:tx>
          <c:spPr>
            <a:solidFill>
              <a:schemeClr val="accent1"/>
            </a:solidFill>
            <a:ln>
              <a:noFill/>
            </a:ln>
            <a:effectLst/>
          </c:spPr>
          <c:invertIfNegative val="0"/>
          <c:cat>
            <c:strRef>
              <c:f>'Pivot Table'!$G$15:$G$21</c:f>
              <c:strCache>
                <c:ptCount val="7"/>
                <c:pt idx="0">
                  <c:v>Infant</c:v>
                </c:pt>
                <c:pt idx="1">
                  <c:v>Child</c:v>
                </c:pt>
                <c:pt idx="2">
                  <c:v>Adolescent</c:v>
                </c:pt>
                <c:pt idx="3">
                  <c:v>Young Adult</c:v>
                </c:pt>
                <c:pt idx="4">
                  <c:v>Middle Aged</c:v>
                </c:pt>
                <c:pt idx="5">
                  <c:v>Young Old</c:v>
                </c:pt>
                <c:pt idx="6">
                  <c:v>Oldest Old</c:v>
                </c:pt>
              </c:strCache>
            </c:strRef>
          </c:cat>
          <c:val>
            <c:numRef>
              <c:f>'Pivot Table'!$H$15:$H$21</c:f>
              <c:numCache>
                <c:formatCode>0</c:formatCode>
                <c:ptCount val="7"/>
                <c:pt idx="0">
                  <c:v>23</c:v>
                </c:pt>
                <c:pt idx="1">
                  <c:v>81</c:v>
                </c:pt>
                <c:pt idx="2">
                  <c:v>49</c:v>
                </c:pt>
                <c:pt idx="3">
                  <c:v>291</c:v>
                </c:pt>
                <c:pt idx="4">
                  <c:v>313</c:v>
                </c:pt>
                <c:pt idx="5">
                  <c:v>237</c:v>
                </c:pt>
                <c:pt idx="6">
                  <c:v>6</c:v>
                </c:pt>
              </c:numCache>
            </c:numRef>
          </c:val>
          <c:extLst>
            <c:ext xmlns:c16="http://schemas.microsoft.com/office/drawing/2014/chart" uri="{C3380CC4-5D6E-409C-BE32-E72D297353CC}">
              <c16:uniqueId val="{00000000-200F-4B14-8111-7BC6AB1319C2}"/>
            </c:ext>
          </c:extLst>
        </c:ser>
        <c:dLbls>
          <c:showLegendKey val="0"/>
          <c:showVal val="0"/>
          <c:showCatName val="0"/>
          <c:showSerName val="0"/>
          <c:showPercent val="0"/>
          <c:showBubbleSize val="0"/>
        </c:dLbls>
        <c:gapWidth val="219"/>
        <c:axId val="530085472"/>
        <c:axId val="530085952"/>
      </c:barChart>
      <c:catAx>
        <c:axId val="53008547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AGE GROUP</a:t>
                </a:r>
                <a:endParaRPr lang="en-GB"/>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0085952"/>
        <c:crosses val="autoZero"/>
        <c:auto val="1"/>
        <c:lblAlgn val="ctr"/>
        <c:lblOffset val="100"/>
        <c:noMultiLvlLbl val="0"/>
      </c:catAx>
      <c:valAx>
        <c:axId val="530085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NO. OF PATIENTS</a:t>
                </a:r>
                <a:endParaRPr lang="en-GB"/>
              </a:p>
            </c:rich>
          </c:tx>
          <c:layout>
            <c:manualLayout>
              <c:xMode val="edge"/>
              <c:yMode val="edge"/>
              <c:x val="0.43057761171611558"/>
              <c:y val="0.8640078237667134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008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 - Working.xlsx]Pivot Table!PivotTable10</c:name>
    <c:fmtId val="9"/>
  </c:pivotSource>
  <c:chart>
    <c:title>
      <c:tx>
        <c:rich>
          <a:bodyPr rot="0" spcFirstLastPara="1" vertOverflow="ellipsis" vert="horz" wrap="square" anchor="ctr" anchorCtr="1"/>
          <a:lstStyle/>
          <a:p>
            <a:pPr>
              <a:defRPr sz="1400" b="1" i="0" u="none" strike="noStrike" kern="1200" spc="0" baseline="0">
                <a:solidFill>
                  <a:schemeClr val="tx2"/>
                </a:solidFill>
                <a:latin typeface="Segoe UI" panose="020B0502040204020203" pitchFamily="34" charset="0"/>
                <a:ea typeface="+mn-ea"/>
                <a:cs typeface="Segoe UI" panose="020B0502040204020203" pitchFamily="34" charset="0"/>
              </a:defRPr>
            </a:pPr>
            <a:r>
              <a:rPr lang="en-AS">
                <a:solidFill>
                  <a:schemeClr val="tx2"/>
                </a:solidFill>
              </a:rPr>
              <a:t>PAYMENT</a:t>
            </a:r>
            <a:r>
              <a:rPr lang="en-AS" baseline="0">
                <a:solidFill>
                  <a:schemeClr val="tx2"/>
                </a:solidFill>
              </a:rPr>
              <a:t> STATUS (%)</a:t>
            </a:r>
            <a:endParaRPr lang="en-GB">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w="19050">
            <a:solidFill>
              <a:schemeClr val="lt1"/>
            </a:solidFill>
          </a:ln>
          <a:effectLst/>
        </c:spPr>
        <c:dLbl>
          <c:idx val="0"/>
          <c:layout>
            <c:manualLayout>
              <c:x val="-1.6666666666666666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5.5555555555555488E-3"/>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
        <c:idx val="6"/>
        <c:spPr>
          <a:solidFill>
            <a:schemeClr val="tx2"/>
          </a:solidFill>
          <a:ln w="19050">
            <a:solidFill>
              <a:schemeClr val="lt1"/>
            </a:solidFill>
          </a:ln>
          <a:effectLst/>
        </c:spPr>
        <c:dLbl>
          <c:idx val="0"/>
          <c:layout>
            <c:manualLayout>
              <c:x val="-1.6666666666666666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pivotFmt>
      <c:pivotFmt>
        <c:idx val="8"/>
        <c:spPr>
          <a:solidFill>
            <a:schemeClr val="accent2">
              <a:lumMod val="50000"/>
            </a:schemeClr>
          </a:solidFill>
          <a:ln w="19050">
            <a:solidFill>
              <a:schemeClr val="lt1"/>
            </a:solidFill>
          </a:ln>
          <a:effectLst/>
        </c:spPr>
        <c:dLbl>
          <c:idx val="0"/>
          <c:layout>
            <c:manualLayout>
              <c:x val="5.5555555555555488E-3"/>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1"/>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6666666666666666E-2"/>
              <c:y val="-1.388888888888897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chemeClr val="accent2">
              <a:lumMod val="50000"/>
            </a:schemeClr>
          </a:solidFill>
          <a:ln w="19050">
            <a:solidFill>
              <a:schemeClr val="lt1"/>
            </a:solidFill>
          </a:ln>
          <a:effectLst/>
        </c:spPr>
        <c:dLbl>
          <c:idx val="0"/>
          <c:layout>
            <c:manualLayout>
              <c:x val="5.5555555555555488E-3"/>
              <c:y val="1.3888888888888846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D6-4D54-B723-ECA80828833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0D6-4D54-B723-ECA808288336}"/>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30D6-4D54-B723-ECA808288336}"/>
              </c:ext>
            </c:extLst>
          </c:dPt>
          <c:dLbls>
            <c:dLbl>
              <c:idx val="0"/>
              <c:layout>
                <c:manualLayout>
                  <c:x val="-1.6666666666666666E-2"/>
                  <c:y val="-1.3888888888888973E-2"/>
                </c:manualLayout>
              </c:layout>
              <c:dLblPos val="outEnd"/>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0D6-4D54-B723-ECA808288336}"/>
                </c:ext>
              </c:extLst>
            </c:dLbl>
            <c:dLbl>
              <c:idx val="2"/>
              <c:layout>
                <c:manualLayout>
                  <c:x val="5.5555555555555488E-3"/>
                  <c:y val="1.3888888888888846E-2"/>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0D6-4D54-B723-ECA808288336}"/>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1"/>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Table'!$A$15:$A$17</c:f>
              <c:strCache>
                <c:ptCount val="3"/>
                <c:pt idx="0">
                  <c:v>Paid</c:v>
                </c:pt>
                <c:pt idx="1">
                  <c:v>Partially Paid</c:v>
                </c:pt>
                <c:pt idx="2">
                  <c:v>Pending</c:v>
                </c:pt>
              </c:strCache>
            </c:strRef>
          </c:cat>
          <c:val>
            <c:numRef>
              <c:f>'Pivot Table'!$B$15:$B$17</c:f>
              <c:numCache>
                <c:formatCode>0%</c:formatCode>
                <c:ptCount val="3"/>
                <c:pt idx="0">
                  <c:v>0.56399999999999995</c:v>
                </c:pt>
                <c:pt idx="1">
                  <c:v>0.17899999999999999</c:v>
                </c:pt>
                <c:pt idx="2">
                  <c:v>0.25700000000000001</c:v>
                </c:pt>
              </c:numCache>
            </c:numRef>
          </c:val>
          <c:extLst>
            <c:ext xmlns:c16="http://schemas.microsoft.com/office/drawing/2014/chart" uri="{C3380CC4-5D6E-409C-BE32-E72D297353CC}">
              <c16:uniqueId val="{00000006-30D6-4D54-B723-ECA80828833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 - Working.xlsx]Pivot Table!PivotTable17</c:name>
    <c:fmtId val="18"/>
  </c:pivotSource>
  <c:chart>
    <c:title>
      <c:tx>
        <c:rich>
          <a:bodyPr rot="0" spcFirstLastPara="1" vertOverflow="ellipsis" vert="horz" wrap="square" anchor="ctr" anchorCtr="1"/>
          <a:lstStyle/>
          <a:p>
            <a:pPr>
              <a:defRPr sz="4800" b="1" i="0" u="none" strike="noStrike" kern="1200" spc="0" baseline="0">
                <a:solidFill>
                  <a:schemeClr val="tx2"/>
                </a:solidFill>
                <a:latin typeface="Segoe UI" panose="020B0502040204020203" pitchFamily="34" charset="0"/>
                <a:ea typeface="+mn-ea"/>
                <a:cs typeface="Segoe UI" panose="020B0502040204020203" pitchFamily="34" charset="0"/>
              </a:defRPr>
            </a:pPr>
            <a:r>
              <a:rPr lang="en-AS" sz="1300">
                <a:solidFill>
                  <a:schemeClr val="tx2"/>
                </a:solidFill>
              </a:rPr>
              <a:t>ADMISSION AND BILLING AMOUNT TREND OVER TIME</a:t>
            </a:r>
            <a:endParaRPr lang="en-GB" sz="1300">
              <a:solidFill>
                <a:schemeClr val="tx2"/>
              </a:solidFill>
            </a:endParaRPr>
          </a:p>
        </c:rich>
      </c:tx>
      <c:layout>
        <c:manualLayout>
          <c:xMode val="edge"/>
          <c:yMode val="edge"/>
          <c:x val="0.11783741240376759"/>
          <c:y val="2.4449877750611249E-2"/>
        </c:manualLayout>
      </c:layout>
      <c:overlay val="0"/>
      <c:spPr>
        <a:noFill/>
        <a:ln>
          <a:noFill/>
        </a:ln>
        <a:effectLst/>
      </c:spPr>
      <c:txPr>
        <a:bodyPr rot="0" spcFirstLastPara="1" vertOverflow="ellipsis" vert="horz" wrap="square" anchor="ctr" anchorCtr="1"/>
        <a:lstStyle/>
        <a:p>
          <a:pPr>
            <a:defRPr sz="4800" b="1" i="0" u="none" strike="noStrike" kern="1200" spc="0" baseline="0">
              <a:solidFill>
                <a:schemeClr val="tx2"/>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87762309753438E-2"/>
          <c:y val="0.15240196078431376"/>
          <c:w val="0.68821655490618161"/>
          <c:h val="0.53505611920759288"/>
        </c:manualLayout>
      </c:layout>
      <c:lineChart>
        <c:grouping val="stacked"/>
        <c:varyColors val="0"/>
        <c:ser>
          <c:idx val="0"/>
          <c:order val="0"/>
          <c:tx>
            <c:strRef>
              <c:f>'Pivot Table'!$B$22</c:f>
              <c:strCache>
                <c:ptCount val="1"/>
                <c:pt idx="0">
                  <c:v>No. of Patients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Table'!$A$23:$A$56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Table'!$B$23:$B$56</c:f>
              <c:numCache>
                <c:formatCode>0</c:formatCode>
                <c:ptCount val="24"/>
                <c:pt idx="0">
                  <c:v>34</c:v>
                </c:pt>
                <c:pt idx="1">
                  <c:v>35</c:v>
                </c:pt>
                <c:pt idx="2">
                  <c:v>39</c:v>
                </c:pt>
                <c:pt idx="3">
                  <c:v>44</c:v>
                </c:pt>
                <c:pt idx="4">
                  <c:v>39</c:v>
                </c:pt>
                <c:pt idx="5">
                  <c:v>40</c:v>
                </c:pt>
                <c:pt idx="6">
                  <c:v>51</c:v>
                </c:pt>
                <c:pt idx="7">
                  <c:v>46</c:v>
                </c:pt>
                <c:pt idx="8">
                  <c:v>44</c:v>
                </c:pt>
                <c:pt idx="9">
                  <c:v>45</c:v>
                </c:pt>
                <c:pt idx="10">
                  <c:v>43</c:v>
                </c:pt>
                <c:pt idx="11">
                  <c:v>48</c:v>
                </c:pt>
                <c:pt idx="12">
                  <c:v>51</c:v>
                </c:pt>
                <c:pt idx="13">
                  <c:v>31</c:v>
                </c:pt>
                <c:pt idx="14">
                  <c:v>42</c:v>
                </c:pt>
                <c:pt idx="15">
                  <c:v>50</c:v>
                </c:pt>
                <c:pt idx="16">
                  <c:v>38</c:v>
                </c:pt>
                <c:pt idx="17">
                  <c:v>29</c:v>
                </c:pt>
                <c:pt idx="18">
                  <c:v>45</c:v>
                </c:pt>
                <c:pt idx="19">
                  <c:v>29</c:v>
                </c:pt>
                <c:pt idx="20">
                  <c:v>44</c:v>
                </c:pt>
                <c:pt idx="21">
                  <c:v>39</c:v>
                </c:pt>
                <c:pt idx="22">
                  <c:v>57</c:v>
                </c:pt>
                <c:pt idx="23">
                  <c:v>37</c:v>
                </c:pt>
              </c:numCache>
            </c:numRef>
          </c:val>
          <c:smooth val="0"/>
          <c:extLst>
            <c:ext xmlns:c16="http://schemas.microsoft.com/office/drawing/2014/chart" uri="{C3380CC4-5D6E-409C-BE32-E72D297353CC}">
              <c16:uniqueId val="{00000000-3296-47B5-8C36-FA2142006D18}"/>
            </c:ext>
          </c:extLst>
        </c:ser>
        <c:dLbls>
          <c:showLegendKey val="0"/>
          <c:showVal val="0"/>
          <c:showCatName val="0"/>
          <c:showSerName val="0"/>
          <c:showPercent val="0"/>
          <c:showBubbleSize val="0"/>
        </c:dLbls>
        <c:marker val="1"/>
        <c:smooth val="0"/>
        <c:axId val="488288368"/>
        <c:axId val="488287888"/>
      </c:lineChart>
      <c:lineChart>
        <c:grouping val="stacked"/>
        <c:varyColors val="0"/>
        <c:ser>
          <c:idx val="1"/>
          <c:order val="1"/>
          <c:tx>
            <c:strRef>
              <c:f>'Pivot Table'!$C$22</c:f>
              <c:strCache>
                <c:ptCount val="1"/>
                <c:pt idx="0">
                  <c:v>Total Bill Amt.</c:v>
                </c:pt>
              </c:strCache>
            </c:strRef>
          </c:tx>
          <c:spPr>
            <a:ln w="28575" cap="rnd">
              <a:solidFill>
                <a:srgbClr val="00B050"/>
              </a:solidFill>
              <a:round/>
            </a:ln>
            <a:effectLst/>
          </c:spPr>
          <c:marker>
            <c:symbol val="circle"/>
            <c:size val="5"/>
            <c:spPr>
              <a:solidFill>
                <a:srgbClr val="00B050"/>
              </a:solidFill>
              <a:ln w="9525">
                <a:noFill/>
              </a:ln>
              <a:effectLst/>
            </c:spPr>
          </c:marker>
          <c:cat>
            <c:multiLvlStrRef>
              <c:f>'Pivot Table'!$A$23:$A$56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Qtr1</c:v>
                  </c:pt>
                  <c:pt idx="3">
                    <c:v>Qtr2</c:v>
                  </c:pt>
                  <c:pt idx="6">
                    <c:v>Qtr3</c:v>
                  </c:pt>
                  <c:pt idx="9">
                    <c:v>Qtr4</c:v>
                  </c:pt>
                  <c:pt idx="12">
                    <c:v>Qtr1</c:v>
                  </c:pt>
                  <c:pt idx="15">
                    <c:v>Qtr2</c:v>
                  </c:pt>
                  <c:pt idx="18">
                    <c:v>Qtr3</c:v>
                  </c:pt>
                  <c:pt idx="21">
                    <c:v>Qtr4</c:v>
                  </c:pt>
                </c:lvl>
                <c:lvl>
                  <c:pt idx="0">
                    <c:v>2024</c:v>
                  </c:pt>
                  <c:pt idx="12">
                    <c:v>2025</c:v>
                  </c:pt>
                </c:lvl>
              </c:multiLvlStrCache>
            </c:multiLvlStrRef>
          </c:cat>
          <c:val>
            <c:numRef>
              <c:f>'Pivot Table'!$C$23:$C$56</c:f>
              <c:numCache>
                <c:formatCode>"$"#,##0.00</c:formatCode>
                <c:ptCount val="24"/>
                <c:pt idx="0">
                  <c:v>271784.38</c:v>
                </c:pt>
                <c:pt idx="1">
                  <c:v>309160.4499999999</c:v>
                </c:pt>
                <c:pt idx="2">
                  <c:v>263013.64</c:v>
                </c:pt>
                <c:pt idx="3">
                  <c:v>314674.54000000004</c:v>
                </c:pt>
                <c:pt idx="4">
                  <c:v>366399.52000000008</c:v>
                </c:pt>
                <c:pt idx="5">
                  <c:v>389933.44999999984</c:v>
                </c:pt>
                <c:pt idx="6">
                  <c:v>421474.20000000019</c:v>
                </c:pt>
                <c:pt idx="7">
                  <c:v>361232.66000000003</c:v>
                </c:pt>
                <c:pt idx="8">
                  <c:v>299681.49999999994</c:v>
                </c:pt>
                <c:pt idx="9">
                  <c:v>443607.11000000016</c:v>
                </c:pt>
                <c:pt idx="10">
                  <c:v>317696.95000000007</c:v>
                </c:pt>
                <c:pt idx="11">
                  <c:v>373806.96</c:v>
                </c:pt>
                <c:pt idx="12">
                  <c:v>390905.02000000008</c:v>
                </c:pt>
                <c:pt idx="13">
                  <c:v>254731.22</c:v>
                </c:pt>
                <c:pt idx="14">
                  <c:v>334028.32999999996</c:v>
                </c:pt>
                <c:pt idx="15">
                  <c:v>344294.6</c:v>
                </c:pt>
                <c:pt idx="16">
                  <c:v>347320.50999999995</c:v>
                </c:pt>
                <c:pt idx="17">
                  <c:v>191472.23000000004</c:v>
                </c:pt>
                <c:pt idx="18">
                  <c:v>330972.42000000004</c:v>
                </c:pt>
                <c:pt idx="19">
                  <c:v>218754.70000000004</c:v>
                </c:pt>
                <c:pt idx="20">
                  <c:v>387014.90999999992</c:v>
                </c:pt>
                <c:pt idx="21">
                  <c:v>297298.9800000001</c:v>
                </c:pt>
                <c:pt idx="22">
                  <c:v>510413.49999999988</c:v>
                </c:pt>
                <c:pt idx="23">
                  <c:v>313471.65999999992</c:v>
                </c:pt>
              </c:numCache>
            </c:numRef>
          </c:val>
          <c:smooth val="0"/>
          <c:extLst>
            <c:ext xmlns:c16="http://schemas.microsoft.com/office/drawing/2014/chart" uri="{C3380CC4-5D6E-409C-BE32-E72D297353CC}">
              <c16:uniqueId val="{00000001-3296-47B5-8C36-FA2142006D18}"/>
            </c:ext>
          </c:extLst>
        </c:ser>
        <c:dLbls>
          <c:showLegendKey val="0"/>
          <c:showVal val="0"/>
          <c:showCatName val="0"/>
          <c:showSerName val="0"/>
          <c:showPercent val="0"/>
          <c:showBubbleSize val="0"/>
        </c:dLbls>
        <c:marker val="1"/>
        <c:smooth val="0"/>
        <c:axId val="492549120"/>
        <c:axId val="492547680"/>
      </c:lineChart>
      <c:catAx>
        <c:axId val="488288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TIME</a:t>
                </a:r>
                <a:endParaRPr lang="en-GB"/>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88287888"/>
        <c:crosses val="autoZero"/>
        <c:auto val="1"/>
        <c:lblAlgn val="ctr"/>
        <c:lblOffset val="100"/>
        <c:noMultiLvlLbl val="0"/>
      </c:catAx>
      <c:valAx>
        <c:axId val="488287888"/>
        <c:scaling>
          <c:orientation val="minMax"/>
          <c:max val="65"/>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NO. OF PATIENTS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88288368"/>
        <c:crosses val="autoZero"/>
        <c:crossBetween val="between"/>
        <c:majorUnit val="10"/>
      </c:valAx>
      <c:valAx>
        <c:axId val="492547680"/>
        <c:scaling>
          <c:orientation val="minMax"/>
          <c:max val="550000"/>
          <c:min val="15000"/>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TOTAL BILL AMOUNT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92549120"/>
        <c:crosses val="max"/>
        <c:crossBetween val="between"/>
      </c:valAx>
      <c:catAx>
        <c:axId val="492549120"/>
        <c:scaling>
          <c:orientation val="minMax"/>
        </c:scaling>
        <c:delete val="1"/>
        <c:axPos val="b"/>
        <c:numFmt formatCode="General" sourceLinked="1"/>
        <c:majorTickMark val="out"/>
        <c:minorTickMark val="none"/>
        <c:tickLblPos val="nextTo"/>
        <c:crossAx val="492547680"/>
        <c:crosses val="autoZero"/>
        <c:auto val="1"/>
        <c:lblAlgn val="ctr"/>
        <c:lblOffset val="100"/>
        <c:noMultiLvlLbl val="0"/>
      </c:catAx>
      <c:spPr>
        <a:noFill/>
        <a:ln>
          <a:noFill/>
        </a:ln>
        <a:effectLst/>
      </c:spPr>
    </c:plotArea>
    <c:legend>
      <c:legendPos val="r"/>
      <c:layout>
        <c:manualLayout>
          <c:xMode val="edge"/>
          <c:yMode val="edge"/>
          <c:x val="0.77748815750014943"/>
          <c:y val="0.73069785394472764"/>
          <c:w val="0.21406696210772466"/>
          <c:h val="0.216436278798483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 - Working.xlsx]Pivot Table!PivotTable23</c:name>
    <c:fmtId val="7"/>
  </c:pivotSource>
  <c:chart>
    <c:title>
      <c:tx>
        <c:rich>
          <a:bodyPr rot="0" spcFirstLastPara="1" vertOverflow="ellipsis" vert="horz" wrap="square" anchor="ctr" anchorCtr="1"/>
          <a:lstStyle/>
          <a:p>
            <a:pPr lvl="0" algn="ctr" rtl="0">
              <a:defRPr sz="1100" b="1" i="0" u="none" strike="noStrike" kern="1200" spc="0" baseline="0">
                <a:solidFill>
                  <a:srgbClr val="0E2841"/>
                </a:solidFill>
                <a:latin typeface="Segoe UI" panose="020B0502040204020203" pitchFamily="34" charset="0"/>
                <a:ea typeface="+mn-ea"/>
                <a:cs typeface="Segoe UI" panose="020B0502040204020203" pitchFamily="34" charset="0"/>
              </a:defRPr>
            </a:pPr>
            <a:r>
              <a:rPr lang="en-AS" sz="1100">
                <a:solidFill>
                  <a:schemeClr val="tx2"/>
                </a:solidFill>
              </a:rPr>
              <a:t>NO. OF PATIENTS AND TOTAL BILL AMOUNT BY DEPARTMENT</a:t>
            </a:r>
            <a:endParaRPr lang="en-GB" sz="1100">
              <a:solidFill>
                <a:schemeClr val="tx2"/>
              </a:solidFill>
            </a:endParaRPr>
          </a:p>
        </c:rich>
      </c:tx>
      <c:layout>
        <c:manualLayout>
          <c:xMode val="edge"/>
          <c:yMode val="edge"/>
          <c:x val="0.11789159012082566"/>
          <c:y val="2.4529828851327991E-2"/>
        </c:manualLayout>
      </c:layout>
      <c:overlay val="0"/>
      <c:spPr>
        <a:noFill/>
        <a:ln>
          <a:noFill/>
        </a:ln>
        <a:effectLst/>
      </c:spPr>
      <c:txPr>
        <a:bodyPr rot="0" spcFirstLastPara="1" vertOverflow="ellipsis" vert="horz" wrap="square" anchor="ctr" anchorCtr="1"/>
        <a:lstStyle/>
        <a:p>
          <a:pPr lvl="0" algn="ctr" rtl="0">
            <a:defRPr sz="1100" b="1" i="0" u="none" strike="noStrike" kern="1200" spc="0" baseline="0">
              <a:solidFill>
                <a:srgbClr val="0E284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4817059006345"/>
          <c:y val="0.16989359462429768"/>
          <c:w val="0.4920203635515526"/>
          <c:h val="0.47057714631173742"/>
        </c:manualLayout>
      </c:layout>
      <c:barChart>
        <c:barDir val="col"/>
        <c:grouping val="stacked"/>
        <c:varyColors val="0"/>
        <c:ser>
          <c:idx val="0"/>
          <c:order val="0"/>
          <c:tx>
            <c:strRef>
              <c:f>'Pivot Table'!$F$23</c:f>
              <c:strCache>
                <c:ptCount val="1"/>
                <c:pt idx="0">
                  <c:v>No. of Patients</c:v>
                </c:pt>
              </c:strCache>
            </c:strRef>
          </c:tx>
          <c:spPr>
            <a:solidFill>
              <a:schemeClr val="accent1"/>
            </a:solidFill>
            <a:ln>
              <a:noFill/>
            </a:ln>
            <a:effectLst/>
          </c:spPr>
          <c:invertIfNegative val="0"/>
          <c:cat>
            <c:strRef>
              <c:f>'Pivot Table'!$E$24:$E$29</c:f>
              <c:strCache>
                <c:ptCount val="6"/>
                <c:pt idx="0">
                  <c:v>Cardiology</c:v>
                </c:pt>
                <c:pt idx="1">
                  <c:v>Emergency</c:v>
                </c:pt>
                <c:pt idx="2">
                  <c:v>General</c:v>
                </c:pt>
                <c:pt idx="3">
                  <c:v>Neurology</c:v>
                </c:pt>
                <c:pt idx="4">
                  <c:v>Orthopedics</c:v>
                </c:pt>
                <c:pt idx="5">
                  <c:v>Pediatrics</c:v>
                </c:pt>
              </c:strCache>
            </c:strRef>
          </c:cat>
          <c:val>
            <c:numRef>
              <c:f>'Pivot Table'!$F$24:$F$29</c:f>
              <c:numCache>
                <c:formatCode>0</c:formatCode>
                <c:ptCount val="6"/>
                <c:pt idx="0">
                  <c:v>152</c:v>
                </c:pt>
                <c:pt idx="1">
                  <c:v>190</c:v>
                </c:pt>
                <c:pt idx="2">
                  <c:v>252</c:v>
                </c:pt>
                <c:pt idx="3">
                  <c:v>94</c:v>
                </c:pt>
                <c:pt idx="4">
                  <c:v>159</c:v>
                </c:pt>
                <c:pt idx="5">
                  <c:v>153</c:v>
                </c:pt>
              </c:numCache>
            </c:numRef>
          </c:val>
          <c:extLst>
            <c:ext xmlns:c16="http://schemas.microsoft.com/office/drawing/2014/chart" uri="{C3380CC4-5D6E-409C-BE32-E72D297353CC}">
              <c16:uniqueId val="{00000000-8738-45F3-A67B-55A8A1A7840A}"/>
            </c:ext>
          </c:extLst>
        </c:ser>
        <c:dLbls>
          <c:showLegendKey val="0"/>
          <c:showVal val="0"/>
          <c:showCatName val="0"/>
          <c:showSerName val="0"/>
          <c:showPercent val="0"/>
          <c:showBubbleSize val="0"/>
        </c:dLbls>
        <c:gapWidth val="219"/>
        <c:overlap val="100"/>
        <c:axId val="541029424"/>
        <c:axId val="541030864"/>
      </c:barChart>
      <c:lineChart>
        <c:grouping val="stacked"/>
        <c:varyColors val="0"/>
        <c:ser>
          <c:idx val="1"/>
          <c:order val="1"/>
          <c:tx>
            <c:strRef>
              <c:f>'Pivot Table'!$G$23</c:f>
              <c:strCache>
                <c:ptCount val="1"/>
                <c:pt idx="0">
                  <c:v>Total Bill Amt.</c:v>
                </c:pt>
              </c:strCache>
            </c:strRef>
          </c:tx>
          <c:spPr>
            <a:ln w="28575" cap="rnd">
              <a:solidFill>
                <a:srgbClr val="00B050"/>
              </a:solidFill>
              <a:round/>
            </a:ln>
            <a:effectLst/>
          </c:spPr>
          <c:marker>
            <c:symbol val="circle"/>
            <c:size val="5"/>
            <c:spPr>
              <a:solidFill>
                <a:schemeClr val="accent2">
                  <a:lumMod val="50000"/>
                </a:schemeClr>
              </a:solidFill>
              <a:ln w="9525">
                <a:noFill/>
              </a:ln>
              <a:effectLst/>
            </c:spPr>
          </c:marker>
          <c:cat>
            <c:strRef>
              <c:f>'Pivot Table'!$E$24:$E$29</c:f>
              <c:strCache>
                <c:ptCount val="6"/>
                <c:pt idx="0">
                  <c:v>Cardiology</c:v>
                </c:pt>
                <c:pt idx="1">
                  <c:v>Emergency</c:v>
                </c:pt>
                <c:pt idx="2">
                  <c:v>General</c:v>
                </c:pt>
                <c:pt idx="3">
                  <c:v>Neurology</c:v>
                </c:pt>
                <c:pt idx="4">
                  <c:v>Orthopedics</c:v>
                </c:pt>
                <c:pt idx="5">
                  <c:v>Pediatrics</c:v>
                </c:pt>
              </c:strCache>
            </c:strRef>
          </c:cat>
          <c:val>
            <c:numRef>
              <c:f>'Pivot Table'!$G$24:$G$29</c:f>
              <c:numCache>
                <c:formatCode>"$"#,##0</c:formatCode>
                <c:ptCount val="6"/>
                <c:pt idx="0">
                  <c:v>2095437.9699999988</c:v>
                </c:pt>
                <c:pt idx="1">
                  <c:v>622525.27999999956</c:v>
                </c:pt>
                <c:pt idx="2">
                  <c:v>993026.92000000027</c:v>
                </c:pt>
                <c:pt idx="3">
                  <c:v>1215302.99</c:v>
                </c:pt>
                <c:pt idx="4">
                  <c:v>2553862.3200000008</c:v>
                </c:pt>
                <c:pt idx="5">
                  <c:v>572987.96000000031</c:v>
                </c:pt>
              </c:numCache>
            </c:numRef>
          </c:val>
          <c:smooth val="0"/>
          <c:extLst>
            <c:ext xmlns:c16="http://schemas.microsoft.com/office/drawing/2014/chart" uri="{C3380CC4-5D6E-409C-BE32-E72D297353CC}">
              <c16:uniqueId val="{00000001-8738-45F3-A67B-55A8A1A7840A}"/>
            </c:ext>
          </c:extLst>
        </c:ser>
        <c:dLbls>
          <c:showLegendKey val="0"/>
          <c:showVal val="0"/>
          <c:showCatName val="0"/>
          <c:showSerName val="0"/>
          <c:showPercent val="0"/>
          <c:showBubbleSize val="0"/>
        </c:dLbls>
        <c:marker val="1"/>
        <c:smooth val="0"/>
        <c:axId val="386029152"/>
        <c:axId val="488774848"/>
      </c:lineChart>
      <c:catAx>
        <c:axId val="54102942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DEPARTMENT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41030864"/>
        <c:crosses val="autoZero"/>
        <c:auto val="1"/>
        <c:lblAlgn val="ctr"/>
        <c:lblOffset val="100"/>
        <c:noMultiLvlLbl val="0"/>
      </c:catAx>
      <c:valAx>
        <c:axId val="541030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NO. OF PATIENTS</a:t>
                </a:r>
                <a:endParaRPr lang="en-GB"/>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41029424"/>
        <c:crosses val="autoZero"/>
        <c:crossBetween val="between"/>
      </c:valAx>
      <c:valAx>
        <c:axId val="48877484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TOTAL BILL AMOUNT</a:t>
                </a:r>
              </a:p>
            </c:rich>
          </c:tx>
          <c:layout>
            <c:manualLayout>
              <c:xMode val="edge"/>
              <c:yMode val="edge"/>
              <c:x val="0.74145063809178402"/>
              <c:y val="0.1502697315432353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86029152"/>
        <c:crosses val="max"/>
        <c:crossBetween val="between"/>
      </c:valAx>
      <c:catAx>
        <c:axId val="386029152"/>
        <c:scaling>
          <c:orientation val="minMax"/>
        </c:scaling>
        <c:delete val="1"/>
        <c:axPos val="b"/>
        <c:numFmt formatCode="General" sourceLinked="1"/>
        <c:majorTickMark val="out"/>
        <c:minorTickMark val="none"/>
        <c:tickLblPos val="nextTo"/>
        <c:crossAx val="488774848"/>
        <c:crosses val="autoZero"/>
        <c:auto val="1"/>
        <c:lblAlgn val="ctr"/>
        <c:lblOffset val="100"/>
        <c:noMultiLvlLbl val="0"/>
      </c:catAx>
      <c:spPr>
        <a:noFill/>
        <a:ln>
          <a:noFill/>
        </a:ln>
        <a:effectLst/>
      </c:spPr>
    </c:plotArea>
    <c:legend>
      <c:legendPos val="r"/>
      <c:layout>
        <c:manualLayout>
          <c:xMode val="edge"/>
          <c:yMode val="edge"/>
          <c:x val="0.77409771342679867"/>
          <c:y val="0.36736605651131754"/>
          <c:w val="0.22115545083446195"/>
          <c:h val="0.175145295777585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[Hospital_Patients_Dataset - Working.xlsx]Pivot Table!PivotTable25</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NO. OF PATIENTS BY GENDER</a:t>
            </a:r>
            <a:endParaRPr lang="en-GB"/>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12125281839"/>
          <c:y val="0.22366802166662259"/>
          <c:w val="0.81307100463195814"/>
          <c:h val="0.53168000233484414"/>
        </c:manualLayout>
      </c:layout>
      <c:barChart>
        <c:barDir val="col"/>
        <c:grouping val="clustered"/>
        <c:varyColors val="0"/>
        <c:ser>
          <c:idx val="0"/>
          <c:order val="0"/>
          <c:tx>
            <c:strRef>
              <c:f>'Pivot Table'!$K$5</c:f>
              <c:strCache>
                <c:ptCount val="1"/>
                <c:pt idx="0">
                  <c:v>Total</c:v>
                </c:pt>
              </c:strCache>
            </c:strRef>
          </c:tx>
          <c:spPr>
            <a:solidFill>
              <a:schemeClr val="accent1"/>
            </a:solidFill>
            <a:ln>
              <a:noFill/>
            </a:ln>
            <a:effectLst/>
          </c:spPr>
          <c:invertIfNegative val="0"/>
          <c:cat>
            <c:strRef>
              <c:f>'Pivot Table'!$J$6:$J$7</c:f>
              <c:strCache>
                <c:ptCount val="2"/>
                <c:pt idx="0">
                  <c:v>Female</c:v>
                </c:pt>
                <c:pt idx="1">
                  <c:v>Male</c:v>
                </c:pt>
              </c:strCache>
            </c:strRef>
          </c:cat>
          <c:val>
            <c:numRef>
              <c:f>'Pivot Table'!$K$6:$K$7</c:f>
              <c:numCache>
                <c:formatCode>0</c:formatCode>
                <c:ptCount val="2"/>
                <c:pt idx="0">
                  <c:v>512</c:v>
                </c:pt>
                <c:pt idx="1">
                  <c:v>488</c:v>
                </c:pt>
              </c:numCache>
            </c:numRef>
          </c:val>
          <c:extLst>
            <c:ext xmlns:c16="http://schemas.microsoft.com/office/drawing/2014/chart" uri="{C3380CC4-5D6E-409C-BE32-E72D297353CC}">
              <c16:uniqueId val="{00000000-8004-4607-AC2A-B841D8BB0226}"/>
            </c:ext>
          </c:extLst>
        </c:ser>
        <c:dLbls>
          <c:showLegendKey val="0"/>
          <c:showVal val="0"/>
          <c:showCatName val="0"/>
          <c:showSerName val="0"/>
          <c:showPercent val="0"/>
          <c:showBubbleSize val="0"/>
        </c:dLbls>
        <c:gapWidth val="219"/>
        <c:overlap val="-27"/>
        <c:axId val="535884032"/>
        <c:axId val="535883072"/>
      </c:barChart>
      <c:catAx>
        <c:axId val="5358840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GENDER</a:t>
                </a:r>
                <a:endParaRPr lang="en-GB"/>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5883072"/>
        <c:crosses val="autoZero"/>
        <c:auto val="1"/>
        <c:lblAlgn val="ctr"/>
        <c:lblOffset val="100"/>
        <c:noMultiLvlLbl val="0"/>
      </c:catAx>
      <c:valAx>
        <c:axId val="53588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S"/>
                  <a:t>NO. OF PATIENTS</a:t>
                </a:r>
                <a:endParaRPr lang="en-GB"/>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588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67790</xdr:colOff>
      <xdr:row>2</xdr:row>
      <xdr:rowOff>67727</xdr:rowOff>
    </xdr:from>
    <xdr:to>
      <xdr:col>6</xdr:col>
      <xdr:colOff>533400</xdr:colOff>
      <xdr:row>12</xdr:row>
      <xdr:rowOff>33867</xdr:rowOff>
    </xdr:to>
    <xdr:grpSp>
      <xdr:nvGrpSpPr>
        <xdr:cNvPr id="7" name="Group 6">
          <a:extLst>
            <a:ext uri="{FF2B5EF4-FFF2-40B4-BE49-F238E27FC236}">
              <a16:creationId xmlns:a16="http://schemas.microsoft.com/office/drawing/2014/main" id="{2BFBD731-5E61-409E-CFE9-B3B49BEC00BE}"/>
            </a:ext>
          </a:extLst>
        </xdr:cNvPr>
        <xdr:cNvGrpSpPr/>
      </xdr:nvGrpSpPr>
      <xdr:grpSpPr>
        <a:xfrm>
          <a:off x="160923" y="355594"/>
          <a:ext cx="3979277" cy="2082806"/>
          <a:chOff x="169336" y="465661"/>
          <a:chExt cx="3293534" cy="1845737"/>
        </a:xfrm>
        <a:effectLst>
          <a:outerShdw blurRad="88900" dist="38100" dir="2700000" sx="101000" sy="101000" algn="tl" rotWithShape="0">
            <a:prstClr val="black">
              <a:alpha val="42000"/>
            </a:prstClr>
          </a:outerShdw>
        </a:effectLst>
      </xdr:grpSpPr>
      <xdr:sp macro="" textlink="">
        <xdr:nvSpPr>
          <xdr:cNvPr id="4" name="Rectangle 3">
            <a:extLst>
              <a:ext uri="{FF2B5EF4-FFF2-40B4-BE49-F238E27FC236}">
                <a16:creationId xmlns:a16="http://schemas.microsoft.com/office/drawing/2014/main" id="{2D047C93-DA85-44E6-908C-6DF830EADBDA}"/>
              </a:ext>
            </a:extLst>
          </xdr:cNvPr>
          <xdr:cNvSpPr/>
        </xdr:nvSpPr>
        <xdr:spPr>
          <a:xfrm>
            <a:off x="1879600" y="1456265"/>
            <a:ext cx="1583270" cy="855133"/>
          </a:xfrm>
          <a:prstGeom prst="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Segoe UI" panose="020B0502040204020203" pitchFamily="34" charset="0"/>
              <a:cs typeface="Segoe UI" panose="020B0502040204020203" pitchFamily="34" charset="0"/>
            </a:endParaRPr>
          </a:p>
        </xdr:txBody>
      </xdr:sp>
      <xdr:sp macro="" textlink="">
        <xdr:nvSpPr>
          <xdr:cNvPr id="3" name="Rectangle 2">
            <a:extLst>
              <a:ext uri="{FF2B5EF4-FFF2-40B4-BE49-F238E27FC236}">
                <a16:creationId xmlns:a16="http://schemas.microsoft.com/office/drawing/2014/main" id="{A006029E-863C-B216-ECE1-572B73C97A02}"/>
              </a:ext>
            </a:extLst>
          </xdr:cNvPr>
          <xdr:cNvSpPr/>
        </xdr:nvSpPr>
        <xdr:spPr>
          <a:xfrm>
            <a:off x="177797" y="465661"/>
            <a:ext cx="1583270" cy="855133"/>
          </a:xfrm>
          <a:prstGeom prst="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u="sng">
              <a:latin typeface="Segoe UI" panose="020B0502040204020203" pitchFamily="34" charset="0"/>
              <a:cs typeface="Segoe UI" panose="020B0502040204020203" pitchFamily="34" charset="0"/>
            </a:endParaRPr>
          </a:p>
        </xdr:txBody>
      </xdr:sp>
      <xdr:sp macro="" textlink="">
        <xdr:nvSpPr>
          <xdr:cNvPr id="5" name="Rectangle 4">
            <a:extLst>
              <a:ext uri="{FF2B5EF4-FFF2-40B4-BE49-F238E27FC236}">
                <a16:creationId xmlns:a16="http://schemas.microsoft.com/office/drawing/2014/main" id="{B4AF2B22-02CB-4750-9A81-9C9037AF54AE}"/>
              </a:ext>
            </a:extLst>
          </xdr:cNvPr>
          <xdr:cNvSpPr/>
        </xdr:nvSpPr>
        <xdr:spPr>
          <a:xfrm>
            <a:off x="1879600" y="482602"/>
            <a:ext cx="1583270" cy="855133"/>
          </a:xfrm>
          <a:prstGeom prst="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600" b="1" u="sng">
              <a:latin typeface="Segoe UI" panose="020B0502040204020203" pitchFamily="34" charset="0"/>
              <a:cs typeface="Segoe UI" panose="020B0502040204020203" pitchFamily="34" charset="0"/>
            </a:endParaRPr>
          </a:p>
        </xdr:txBody>
      </xdr:sp>
      <xdr:sp macro="" textlink="">
        <xdr:nvSpPr>
          <xdr:cNvPr id="6" name="Rectangle 5">
            <a:extLst>
              <a:ext uri="{FF2B5EF4-FFF2-40B4-BE49-F238E27FC236}">
                <a16:creationId xmlns:a16="http://schemas.microsoft.com/office/drawing/2014/main" id="{E6830966-FE85-45E4-9980-12EC2FC182D5}"/>
              </a:ext>
            </a:extLst>
          </xdr:cNvPr>
          <xdr:cNvSpPr/>
        </xdr:nvSpPr>
        <xdr:spPr>
          <a:xfrm>
            <a:off x="169336" y="1456261"/>
            <a:ext cx="1600671" cy="855133"/>
          </a:xfrm>
          <a:prstGeom prst="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atin typeface="Segoe UI" panose="020B0502040204020203" pitchFamily="34" charset="0"/>
              <a:cs typeface="Segoe UI" panose="020B0502040204020203" pitchFamily="34" charset="0"/>
            </a:endParaRPr>
          </a:p>
        </xdr:txBody>
      </xdr:sp>
    </xdr:grpSp>
    <xdr:clientData/>
  </xdr:twoCellAnchor>
  <xdr:twoCellAnchor>
    <xdr:from>
      <xdr:col>1</xdr:col>
      <xdr:colOff>67734</xdr:colOff>
      <xdr:row>12</xdr:row>
      <xdr:rowOff>118533</xdr:rowOff>
    </xdr:from>
    <xdr:to>
      <xdr:col>5</xdr:col>
      <xdr:colOff>222087</xdr:colOff>
      <xdr:row>17</xdr:row>
      <xdr:rowOff>143932</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id="{0CF2BE1B-0AC3-4212-B46B-741CCA7D0CC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0867" y="2269066"/>
              <a:ext cx="2965287" cy="9567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76251</xdr:colOff>
      <xdr:row>18</xdr:row>
      <xdr:rowOff>16934</xdr:rowOff>
    </xdr:from>
    <xdr:to>
      <xdr:col>6</xdr:col>
      <xdr:colOff>541867</xdr:colOff>
      <xdr:row>26</xdr:row>
      <xdr:rowOff>279400</xdr:rowOff>
    </xdr:to>
    <mc:AlternateContent xmlns:mc="http://schemas.openxmlformats.org/markup-compatibility/2006" xmlns:a14="http://schemas.microsoft.com/office/drawing/2010/main">
      <mc:Choice Requires="a14">
        <xdr:graphicFrame macro="">
          <xdr:nvGraphicFramePr>
            <xdr:cNvPr id="28" name="Diagnosis">
              <a:extLst>
                <a:ext uri="{FF2B5EF4-FFF2-40B4-BE49-F238E27FC236}">
                  <a16:creationId xmlns:a16="http://schemas.microsoft.com/office/drawing/2014/main" id="{5F1D57D1-AA61-4633-99F1-B8909D3B9138}"/>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69384" y="3285067"/>
              <a:ext cx="3979283" cy="1752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320078</xdr:colOff>
      <xdr:row>12</xdr:row>
      <xdr:rowOff>114299</xdr:rowOff>
    </xdr:from>
    <xdr:to>
      <xdr:col>6</xdr:col>
      <xdr:colOff>533345</xdr:colOff>
      <xdr:row>17</xdr:row>
      <xdr:rowOff>143932</xdr:rowOff>
    </xdr:to>
    <mc:AlternateContent xmlns:mc="http://schemas.openxmlformats.org/markup-compatibility/2006" xmlns:a14="http://schemas.microsoft.com/office/drawing/2010/main">
      <mc:Choice Requires="a14">
        <xdr:graphicFrame macro="">
          <xdr:nvGraphicFramePr>
            <xdr:cNvPr id="30" name="Years (Admission Date)">
              <a:extLst>
                <a:ext uri="{FF2B5EF4-FFF2-40B4-BE49-F238E27FC236}">
                  <a16:creationId xmlns:a16="http://schemas.microsoft.com/office/drawing/2014/main" id="{4795930F-A904-418C-A0E4-17FE4AD5C778}"/>
                </a:ext>
              </a:extLst>
            </xdr:cNvPr>
            <xdr:cNvGraphicFramePr/>
          </xdr:nvGraphicFramePr>
          <xdr:xfrm>
            <a:off x="0" y="0"/>
            <a:ext cx="0" cy="0"/>
          </xdr:xfrm>
          <a:graphic>
            <a:graphicData uri="http://schemas.microsoft.com/office/drawing/2010/slicer">
              <sle:slicer xmlns:sle="http://schemas.microsoft.com/office/drawing/2010/slicer" name="Years (Admission Date)"/>
            </a:graphicData>
          </a:graphic>
        </xdr:graphicFrame>
      </mc:Choice>
      <mc:Fallback xmlns="">
        <xdr:sp macro="" textlink="">
          <xdr:nvSpPr>
            <xdr:cNvPr id="0" name=""/>
            <xdr:cNvSpPr>
              <a:spLocks noTextEdit="1"/>
            </xdr:cNvSpPr>
          </xdr:nvSpPr>
          <xdr:spPr>
            <a:xfrm>
              <a:off x="3224145" y="2264832"/>
              <a:ext cx="916000" cy="9609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416982</xdr:colOff>
      <xdr:row>2</xdr:row>
      <xdr:rowOff>177807</xdr:rowOff>
    </xdr:from>
    <xdr:ext cx="1718735" cy="348172"/>
    <xdr:sp macro="" textlink="">
      <xdr:nvSpPr>
        <xdr:cNvPr id="10" name="TextBox 9">
          <a:extLst>
            <a:ext uri="{FF2B5EF4-FFF2-40B4-BE49-F238E27FC236}">
              <a16:creationId xmlns:a16="http://schemas.microsoft.com/office/drawing/2014/main" id="{E00AF3A5-513F-8A38-3F45-A7CF10DAC871}"/>
            </a:ext>
          </a:extLst>
        </xdr:cNvPr>
        <xdr:cNvSpPr txBox="1"/>
      </xdr:nvSpPr>
      <xdr:spPr>
        <a:xfrm>
          <a:off x="510115" y="465674"/>
          <a:ext cx="1718735" cy="348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AS" sz="15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rPr>
            <a:t>No. of Patients</a:t>
          </a:r>
          <a:endParaRPr kumimoji="0" lang="en-GB" sz="15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endParaRPr>
        </a:p>
      </xdr:txBody>
    </xdr:sp>
    <xdr:clientData/>
  </xdr:oneCellAnchor>
  <xdr:oneCellAnchor>
    <xdr:from>
      <xdr:col>1</xdr:col>
      <xdr:colOff>518589</xdr:colOff>
      <xdr:row>8</xdr:row>
      <xdr:rowOff>33854</xdr:rowOff>
    </xdr:from>
    <xdr:ext cx="1837265" cy="314125"/>
    <xdr:sp macro="" textlink="">
      <xdr:nvSpPr>
        <xdr:cNvPr id="12" name="TextBox 11">
          <a:extLst>
            <a:ext uri="{FF2B5EF4-FFF2-40B4-BE49-F238E27FC236}">
              <a16:creationId xmlns:a16="http://schemas.microsoft.com/office/drawing/2014/main" id="{5E893930-BC9D-4C8B-A1B6-A5C976F6999F}"/>
            </a:ext>
          </a:extLst>
        </xdr:cNvPr>
        <xdr:cNvSpPr txBox="1"/>
      </xdr:nvSpPr>
      <xdr:spPr>
        <a:xfrm>
          <a:off x="611722" y="1439321"/>
          <a:ext cx="1837265" cy="314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AS" sz="13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rPr>
            <a:t>Avg. Stay Length</a:t>
          </a:r>
          <a:endParaRPr kumimoji="0" lang="en-GB" sz="13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endParaRPr>
        </a:p>
      </xdr:txBody>
    </xdr:sp>
    <xdr:clientData/>
  </xdr:oneCellAnchor>
  <xdr:oneCellAnchor>
    <xdr:from>
      <xdr:col>4</xdr:col>
      <xdr:colOff>355604</xdr:colOff>
      <xdr:row>2</xdr:row>
      <xdr:rowOff>177794</xdr:rowOff>
    </xdr:from>
    <xdr:ext cx="1744131" cy="365228"/>
    <xdr:sp macro="" textlink="">
      <xdr:nvSpPr>
        <xdr:cNvPr id="13" name="TextBox 12">
          <a:extLst>
            <a:ext uri="{FF2B5EF4-FFF2-40B4-BE49-F238E27FC236}">
              <a16:creationId xmlns:a16="http://schemas.microsoft.com/office/drawing/2014/main" id="{EACC2A98-AFA4-4A15-A4B4-378DD8681B32}"/>
            </a:ext>
          </a:extLst>
        </xdr:cNvPr>
        <xdr:cNvSpPr txBox="1"/>
      </xdr:nvSpPr>
      <xdr:spPr>
        <a:xfrm>
          <a:off x="2556937" y="465661"/>
          <a:ext cx="1744131" cy="365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6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rPr>
            <a:t>Total Bill Amt.</a:t>
          </a:r>
        </a:p>
      </xdr:txBody>
    </xdr:sp>
    <xdr:clientData/>
  </xdr:oneCellAnchor>
  <xdr:oneCellAnchor>
    <xdr:from>
      <xdr:col>4</xdr:col>
      <xdr:colOff>347139</xdr:colOff>
      <xdr:row>8</xdr:row>
      <xdr:rowOff>16931</xdr:rowOff>
    </xdr:from>
    <xdr:ext cx="1752598" cy="321738"/>
    <xdr:sp macro="" textlink="">
      <xdr:nvSpPr>
        <xdr:cNvPr id="14" name="TextBox 13">
          <a:extLst>
            <a:ext uri="{FF2B5EF4-FFF2-40B4-BE49-F238E27FC236}">
              <a16:creationId xmlns:a16="http://schemas.microsoft.com/office/drawing/2014/main" id="{8E9B7641-34DE-4AB1-86D6-26A533479A18}"/>
            </a:ext>
          </a:extLst>
        </xdr:cNvPr>
        <xdr:cNvSpPr txBox="1"/>
      </xdr:nvSpPr>
      <xdr:spPr>
        <a:xfrm>
          <a:off x="2548472" y="1422398"/>
          <a:ext cx="1752598" cy="321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AS" sz="13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rPr>
            <a:t>Avg. Insurance (%)</a:t>
          </a:r>
          <a:endParaRPr kumimoji="0" lang="en-GB" sz="1300" b="1" i="0" u="sng" strike="noStrike" kern="0" cap="none" spc="0" normalizeH="0" baseline="0" noProof="0">
            <a:ln>
              <a:noFill/>
            </a:ln>
            <a:solidFill>
              <a:prstClr val="white"/>
            </a:solidFill>
            <a:effectLst/>
            <a:uLnTx/>
            <a:uFillTx/>
            <a:latin typeface="Segoe UI" panose="020B0502040204020203" pitchFamily="34" charset="0"/>
            <a:ea typeface="+mn-ea"/>
            <a:cs typeface="Segoe UI" panose="020B0502040204020203" pitchFamily="34" charset="0"/>
          </a:endParaRPr>
        </a:p>
      </xdr:txBody>
    </xdr:sp>
    <xdr:clientData/>
  </xdr:oneCellAnchor>
  <xdr:twoCellAnchor>
    <xdr:from>
      <xdr:col>1</xdr:col>
      <xdr:colOff>491065</xdr:colOff>
      <xdr:row>4</xdr:row>
      <xdr:rowOff>16926</xdr:rowOff>
    </xdr:from>
    <xdr:to>
      <xdr:col>3</xdr:col>
      <xdr:colOff>330198</xdr:colOff>
      <xdr:row>6</xdr:row>
      <xdr:rowOff>126993</xdr:rowOff>
    </xdr:to>
    <xdr:sp macro="" textlink="'Pivot Table'!A3">
      <xdr:nvSpPr>
        <xdr:cNvPr id="15" name="TextBox 14">
          <a:extLst>
            <a:ext uri="{FF2B5EF4-FFF2-40B4-BE49-F238E27FC236}">
              <a16:creationId xmlns:a16="http://schemas.microsoft.com/office/drawing/2014/main" id="{FC493183-375E-FCC4-29FD-6266C4AE70BD}"/>
            </a:ext>
          </a:extLst>
        </xdr:cNvPr>
        <xdr:cNvSpPr txBox="1"/>
      </xdr:nvSpPr>
      <xdr:spPr>
        <a:xfrm rot="10800000" flipV="1">
          <a:off x="584198" y="677326"/>
          <a:ext cx="12446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45790E-B052-41B4-9392-AD360174C81D}" type="TxLink">
            <a:rPr lang="en-US" sz="2800" b="1" i="0" u="none" strike="noStrike">
              <a:solidFill>
                <a:schemeClr val="bg1"/>
              </a:solidFill>
              <a:latin typeface="Segoe UI" panose="020B0502040204020203" pitchFamily="34" charset="0"/>
              <a:cs typeface="Segoe UI" panose="020B0502040204020203" pitchFamily="34" charset="0"/>
            </a:rPr>
            <a:pPr algn="ctr"/>
            <a:t> 1,000 </a:t>
          </a:fld>
          <a:endParaRPr lang="en-GB" sz="2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465669</xdr:colOff>
      <xdr:row>4</xdr:row>
      <xdr:rowOff>76195</xdr:rowOff>
    </xdr:from>
    <xdr:to>
      <xdr:col>7</xdr:col>
      <xdr:colOff>177799</xdr:colOff>
      <xdr:row>7</xdr:row>
      <xdr:rowOff>33867</xdr:rowOff>
    </xdr:to>
    <xdr:sp macro="" textlink="'Pivot Table'!C3">
      <xdr:nvSpPr>
        <xdr:cNvPr id="16" name="TextBox 15">
          <a:extLst>
            <a:ext uri="{FF2B5EF4-FFF2-40B4-BE49-F238E27FC236}">
              <a16:creationId xmlns:a16="http://schemas.microsoft.com/office/drawing/2014/main" id="{DC14A49E-243A-4C4A-B11E-6BF8D3CD3415}"/>
            </a:ext>
          </a:extLst>
        </xdr:cNvPr>
        <xdr:cNvSpPr txBox="1"/>
      </xdr:nvSpPr>
      <xdr:spPr>
        <a:xfrm rot="10800000" flipV="1">
          <a:off x="2667002" y="736595"/>
          <a:ext cx="1752597" cy="516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CCDF2F-B723-425E-A848-37FAD440485D}" type="TxLink">
            <a:rPr lang="en-US" sz="2100" b="1" i="0" u="none" strike="noStrike">
              <a:solidFill>
                <a:schemeClr val="bg1"/>
              </a:solidFill>
              <a:latin typeface="Segoe UI" panose="020B0502040204020203" pitchFamily="34" charset="0"/>
              <a:cs typeface="Segoe UI" panose="020B0502040204020203" pitchFamily="34" charset="0"/>
            </a:rPr>
            <a:pPr/>
            <a:t>$8,053,143</a:t>
          </a:fld>
          <a:endParaRPr lang="en-GB" sz="21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169333</xdr:colOff>
      <xdr:row>9</xdr:row>
      <xdr:rowOff>59265</xdr:rowOff>
    </xdr:from>
    <xdr:to>
      <xdr:col>3</xdr:col>
      <xdr:colOff>118533</xdr:colOff>
      <xdr:row>11</xdr:row>
      <xdr:rowOff>152397</xdr:rowOff>
    </xdr:to>
    <xdr:sp macro="" textlink="'Pivot Table'!E3">
      <xdr:nvSpPr>
        <xdr:cNvPr id="17" name="TextBox 16">
          <a:extLst>
            <a:ext uri="{FF2B5EF4-FFF2-40B4-BE49-F238E27FC236}">
              <a16:creationId xmlns:a16="http://schemas.microsoft.com/office/drawing/2014/main" id="{1514EBD6-CAC4-4593-9E04-48F752D66102}"/>
            </a:ext>
          </a:extLst>
        </xdr:cNvPr>
        <xdr:cNvSpPr txBox="1"/>
      </xdr:nvSpPr>
      <xdr:spPr>
        <a:xfrm rot="10800000" flipV="1">
          <a:off x="965200" y="1650998"/>
          <a:ext cx="651933"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6A1554-178A-447F-852C-6B34E44C1A26}" type="TxLink">
            <a:rPr lang="en-US" sz="2800" b="1" i="0" u="none" strike="noStrike">
              <a:solidFill>
                <a:schemeClr val="bg1"/>
              </a:solidFill>
              <a:latin typeface="Aptos Narrow"/>
            </a:rPr>
            <a:pPr/>
            <a:t>4.8</a:t>
          </a:fld>
          <a:endParaRPr lang="en-GB" sz="2800" b="1">
            <a:solidFill>
              <a:schemeClr val="bg1"/>
            </a:solidFill>
          </a:endParaRPr>
        </a:p>
      </xdr:txBody>
    </xdr:sp>
    <xdr:clientData/>
  </xdr:twoCellAnchor>
  <xdr:twoCellAnchor>
    <xdr:from>
      <xdr:col>5</xdr:col>
      <xdr:colOff>364070</xdr:colOff>
      <xdr:row>9</xdr:row>
      <xdr:rowOff>42330</xdr:rowOff>
    </xdr:from>
    <xdr:to>
      <xdr:col>6</xdr:col>
      <xdr:colOff>584202</xdr:colOff>
      <xdr:row>12</xdr:row>
      <xdr:rowOff>33862</xdr:rowOff>
    </xdr:to>
    <xdr:sp macro="" textlink="'Pivot Table'!G3">
      <xdr:nvSpPr>
        <xdr:cNvPr id="18" name="TextBox 17">
          <a:extLst>
            <a:ext uri="{FF2B5EF4-FFF2-40B4-BE49-F238E27FC236}">
              <a16:creationId xmlns:a16="http://schemas.microsoft.com/office/drawing/2014/main" id="{F60FB4E7-F1CC-4410-8FBF-79C6EEDD0F32}"/>
            </a:ext>
          </a:extLst>
        </xdr:cNvPr>
        <xdr:cNvSpPr txBox="1"/>
      </xdr:nvSpPr>
      <xdr:spPr>
        <a:xfrm rot="10800000" flipV="1">
          <a:off x="3268137" y="1634063"/>
          <a:ext cx="922865" cy="550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0F9AD4-6A1D-4DF4-8125-B0F387DF4035}" type="TxLink">
            <a:rPr lang="en-US" sz="2800" b="1" i="0" u="none" strike="noStrike">
              <a:solidFill>
                <a:schemeClr val="bg1"/>
              </a:solidFill>
              <a:latin typeface="Segoe UI" panose="020B0502040204020203" pitchFamily="34" charset="0"/>
              <a:cs typeface="Segoe UI" panose="020B0502040204020203" pitchFamily="34" charset="0"/>
            </a:rPr>
            <a:pPr/>
            <a:t>75%</a:t>
          </a:fld>
          <a:endParaRPr lang="en-GB" sz="4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7</xdr:col>
      <xdr:colOff>101600</xdr:colOff>
      <xdr:row>16</xdr:row>
      <xdr:rowOff>59267</xdr:rowOff>
    </xdr:from>
    <xdr:to>
      <xdr:col>13</xdr:col>
      <xdr:colOff>93133</xdr:colOff>
      <xdr:row>27</xdr:row>
      <xdr:rowOff>25401</xdr:rowOff>
    </xdr:to>
    <xdr:graphicFrame macro="">
      <xdr:nvGraphicFramePr>
        <xdr:cNvPr id="19" name="Chart 18">
          <a:extLst>
            <a:ext uri="{FF2B5EF4-FFF2-40B4-BE49-F238E27FC236}">
              <a16:creationId xmlns:a16="http://schemas.microsoft.com/office/drawing/2014/main" id="{4F715432-6169-4681-A9EA-8DF3E1AB7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169331</xdr:colOff>
      <xdr:row>16</xdr:row>
      <xdr:rowOff>59267</xdr:rowOff>
    </xdr:from>
    <xdr:to>
      <xdr:col>17</xdr:col>
      <xdr:colOff>364065</xdr:colOff>
      <xdr:row>27</xdr:row>
      <xdr:rowOff>22491</xdr:rowOff>
    </xdr:to>
    <xdr:graphicFrame macro="">
      <xdr:nvGraphicFramePr>
        <xdr:cNvPr id="20" name="Chart 19">
          <a:extLst>
            <a:ext uri="{FF2B5EF4-FFF2-40B4-BE49-F238E27FC236}">
              <a16:creationId xmlns:a16="http://schemas.microsoft.com/office/drawing/2014/main" id="{C01A8FD8-9181-4903-ADC1-5C8EE37F3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101600</xdr:colOff>
      <xdr:row>2</xdr:row>
      <xdr:rowOff>27517</xdr:rowOff>
    </xdr:from>
    <xdr:to>
      <xdr:col>16</xdr:col>
      <xdr:colOff>127001</xdr:colOff>
      <xdr:row>16</xdr:row>
      <xdr:rowOff>16934</xdr:rowOff>
    </xdr:to>
    <xdr:graphicFrame macro="">
      <xdr:nvGraphicFramePr>
        <xdr:cNvPr id="29" name="Chart 28">
          <a:extLst>
            <a:ext uri="{FF2B5EF4-FFF2-40B4-BE49-F238E27FC236}">
              <a16:creationId xmlns:a16="http://schemas.microsoft.com/office/drawing/2014/main" id="{150420EA-E496-40BB-B122-EF3BA24B2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220133</xdr:colOff>
      <xdr:row>2</xdr:row>
      <xdr:rowOff>35982</xdr:rowOff>
    </xdr:from>
    <xdr:to>
      <xdr:col>24</xdr:col>
      <xdr:colOff>533401</xdr:colOff>
      <xdr:row>16</xdr:row>
      <xdr:rowOff>16934</xdr:rowOff>
    </xdr:to>
    <xdr:graphicFrame macro="">
      <xdr:nvGraphicFramePr>
        <xdr:cNvPr id="31" name="Chart 30">
          <a:extLst>
            <a:ext uri="{FF2B5EF4-FFF2-40B4-BE49-F238E27FC236}">
              <a16:creationId xmlns:a16="http://schemas.microsoft.com/office/drawing/2014/main" id="{C3C18B8B-829E-480C-B474-9B24B2827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448735</xdr:colOff>
      <xdr:row>16</xdr:row>
      <xdr:rowOff>50801</xdr:rowOff>
    </xdr:from>
    <xdr:to>
      <xdr:col>24</xdr:col>
      <xdr:colOff>524933</xdr:colOff>
      <xdr:row>27</xdr:row>
      <xdr:rowOff>33867</xdr:rowOff>
    </xdr:to>
    <xdr:graphicFrame macro="">
      <xdr:nvGraphicFramePr>
        <xdr:cNvPr id="34" name="Chart 33">
          <a:extLst>
            <a:ext uri="{FF2B5EF4-FFF2-40B4-BE49-F238E27FC236}">
              <a16:creationId xmlns:a16="http://schemas.microsoft.com/office/drawing/2014/main" id="{51D05B1D-02FA-4A00-A5B9-6004B93D7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76199</xdr:colOff>
      <xdr:row>3</xdr:row>
      <xdr:rowOff>50801</xdr:rowOff>
    </xdr:from>
    <xdr:to>
      <xdr:col>1</xdr:col>
      <xdr:colOff>660400</xdr:colOff>
      <xdr:row>6</xdr:row>
      <xdr:rowOff>2</xdr:rowOff>
    </xdr:to>
    <xdr:pic>
      <xdr:nvPicPr>
        <xdr:cNvPr id="11" name="Graphic 10" descr="Users with solid fill">
          <a:extLst>
            <a:ext uri="{FF2B5EF4-FFF2-40B4-BE49-F238E27FC236}">
              <a16:creationId xmlns:a16="http://schemas.microsoft.com/office/drawing/2014/main" id="{D94130EF-8FE7-AE1A-F106-6B92B15559B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9332" y="524934"/>
          <a:ext cx="584201" cy="584201"/>
        </a:xfrm>
        <a:prstGeom prst="rect">
          <a:avLst/>
        </a:prstGeom>
      </xdr:spPr>
    </xdr:pic>
    <xdr:clientData/>
  </xdr:twoCellAnchor>
  <xdr:twoCellAnchor editAs="oneCell">
    <xdr:from>
      <xdr:col>3</xdr:col>
      <xdr:colOff>691863</xdr:colOff>
      <xdr:row>8</xdr:row>
      <xdr:rowOff>90731</xdr:rowOff>
    </xdr:from>
    <xdr:to>
      <xdr:col>4</xdr:col>
      <xdr:colOff>651931</xdr:colOff>
      <xdr:row>11</xdr:row>
      <xdr:rowOff>118532</xdr:rowOff>
    </xdr:to>
    <xdr:pic>
      <xdr:nvPicPr>
        <xdr:cNvPr id="22" name="Graphic 21" descr="Handshake with solid fill">
          <a:extLst>
            <a:ext uri="{FF2B5EF4-FFF2-40B4-BE49-F238E27FC236}">
              <a16:creationId xmlns:a16="http://schemas.microsoft.com/office/drawing/2014/main" id="{ED0850FE-B79B-2D81-B295-F2D9E8CCDFD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568641">
          <a:off x="2190463" y="1496198"/>
          <a:ext cx="662801" cy="662801"/>
        </a:xfrm>
        <a:prstGeom prst="rect">
          <a:avLst/>
        </a:prstGeom>
      </xdr:spPr>
    </xdr:pic>
    <xdr:clientData/>
  </xdr:twoCellAnchor>
  <xdr:twoCellAnchor editAs="oneCell">
    <xdr:from>
      <xdr:col>5</xdr:col>
      <xdr:colOff>347134</xdr:colOff>
      <xdr:row>0</xdr:row>
      <xdr:rowOff>0</xdr:rowOff>
    </xdr:from>
    <xdr:to>
      <xdr:col>6</xdr:col>
      <xdr:colOff>160863</xdr:colOff>
      <xdr:row>2</xdr:row>
      <xdr:rowOff>25400</xdr:rowOff>
    </xdr:to>
    <xdr:pic>
      <xdr:nvPicPr>
        <xdr:cNvPr id="26" name="Graphic 25" descr="Heartbeat with solid fill">
          <a:extLst>
            <a:ext uri="{FF2B5EF4-FFF2-40B4-BE49-F238E27FC236}">
              <a16:creationId xmlns:a16="http://schemas.microsoft.com/office/drawing/2014/main" id="{2F6BD87B-500A-E097-80EB-25DE71BB6036}"/>
            </a:ext>
          </a:extLst>
        </xdr:cNvPr>
        <xdr:cNvPicPr preferRelativeResize="0">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51201" y="0"/>
          <a:ext cx="516462" cy="313267"/>
        </a:xfrm>
        <a:prstGeom prst="rect">
          <a:avLst/>
        </a:prstGeom>
      </xdr:spPr>
    </xdr:pic>
    <xdr:clientData/>
  </xdr:twoCellAnchor>
  <xdr:twoCellAnchor editAs="oneCell">
    <xdr:from>
      <xdr:col>1</xdr:col>
      <xdr:colOff>75114</xdr:colOff>
      <xdr:row>0</xdr:row>
      <xdr:rowOff>2</xdr:rowOff>
    </xdr:from>
    <xdr:to>
      <xdr:col>1</xdr:col>
      <xdr:colOff>389470</xdr:colOff>
      <xdr:row>2</xdr:row>
      <xdr:rowOff>26491</xdr:rowOff>
    </xdr:to>
    <xdr:pic>
      <xdr:nvPicPr>
        <xdr:cNvPr id="38" name="Graphic 37" descr="Medical with solid fill">
          <a:extLst>
            <a:ext uri="{FF2B5EF4-FFF2-40B4-BE49-F238E27FC236}">
              <a16:creationId xmlns:a16="http://schemas.microsoft.com/office/drawing/2014/main" id="{4F05600B-5E4D-5B56-81B0-612A9124D2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168247" y="2"/>
          <a:ext cx="314356" cy="314356"/>
        </a:xfrm>
        <a:prstGeom prst="rect">
          <a:avLst/>
        </a:prstGeom>
      </xdr:spPr>
    </xdr:pic>
    <xdr:clientData/>
  </xdr:twoCellAnchor>
  <xdr:twoCellAnchor editAs="oneCell">
    <xdr:from>
      <xdr:col>1</xdr:col>
      <xdr:colOff>8598</xdr:colOff>
      <xdr:row>8</xdr:row>
      <xdr:rowOff>43728</xdr:rowOff>
    </xdr:from>
    <xdr:to>
      <xdr:col>1</xdr:col>
      <xdr:colOff>660400</xdr:colOff>
      <xdr:row>11</xdr:row>
      <xdr:rowOff>60530</xdr:rowOff>
    </xdr:to>
    <xdr:pic>
      <xdr:nvPicPr>
        <xdr:cNvPr id="40" name="Graphic 39" descr="Stopwatch with solid fill">
          <a:extLst>
            <a:ext uri="{FF2B5EF4-FFF2-40B4-BE49-F238E27FC236}">
              <a16:creationId xmlns:a16="http://schemas.microsoft.com/office/drawing/2014/main" id="{7E662C0E-7454-E00B-E2A1-6164FD33DFF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731" y="1449195"/>
          <a:ext cx="651802" cy="651802"/>
        </a:xfrm>
        <a:prstGeom prst="rect">
          <a:avLst/>
        </a:prstGeom>
      </xdr:spPr>
    </xdr:pic>
    <xdr:clientData/>
  </xdr:twoCellAnchor>
  <xdr:twoCellAnchor editAs="oneCell">
    <xdr:from>
      <xdr:col>4</xdr:col>
      <xdr:colOff>16931</xdr:colOff>
      <xdr:row>3</xdr:row>
      <xdr:rowOff>25397</xdr:rowOff>
    </xdr:from>
    <xdr:to>
      <xdr:col>4</xdr:col>
      <xdr:colOff>499535</xdr:colOff>
      <xdr:row>5</xdr:row>
      <xdr:rowOff>160864</xdr:rowOff>
    </xdr:to>
    <xdr:pic>
      <xdr:nvPicPr>
        <xdr:cNvPr id="42" name="Graphic 41" descr="Money with solid fill">
          <a:extLst>
            <a:ext uri="{FF2B5EF4-FFF2-40B4-BE49-F238E27FC236}">
              <a16:creationId xmlns:a16="http://schemas.microsoft.com/office/drawing/2014/main" id="{880DE339-7406-2E78-936B-0ED89DBA48A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18264" y="499530"/>
          <a:ext cx="482604" cy="558801"/>
        </a:xfrm>
        <a:prstGeom prst="rect">
          <a:avLst/>
        </a:prstGeom>
      </xdr:spPr>
    </xdr:pic>
    <xdr:clientData/>
  </xdr:twoCellAnchor>
  <xdr:twoCellAnchor editAs="oneCell">
    <xdr:from>
      <xdr:col>1</xdr:col>
      <xdr:colOff>447647</xdr:colOff>
      <xdr:row>0</xdr:row>
      <xdr:rowOff>0</xdr:rowOff>
    </xdr:from>
    <xdr:to>
      <xdr:col>2</xdr:col>
      <xdr:colOff>59269</xdr:colOff>
      <xdr:row>2</xdr:row>
      <xdr:rowOff>26489</xdr:rowOff>
    </xdr:to>
    <xdr:pic>
      <xdr:nvPicPr>
        <xdr:cNvPr id="43" name="Graphic 42" descr="Medical with solid fill">
          <a:extLst>
            <a:ext uri="{FF2B5EF4-FFF2-40B4-BE49-F238E27FC236}">
              <a16:creationId xmlns:a16="http://schemas.microsoft.com/office/drawing/2014/main" id="{F0BE315A-6602-4112-A4A3-7CC655A782C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540780" y="0"/>
          <a:ext cx="314356" cy="314356"/>
        </a:xfrm>
        <a:prstGeom prst="rect">
          <a:avLst/>
        </a:prstGeom>
      </xdr:spPr>
    </xdr:pic>
    <xdr:clientData/>
  </xdr:twoCellAnchor>
  <xdr:twoCellAnchor editAs="oneCell">
    <xdr:from>
      <xdr:col>2</xdr:col>
      <xdr:colOff>125913</xdr:colOff>
      <xdr:row>0</xdr:row>
      <xdr:rowOff>0</xdr:rowOff>
    </xdr:from>
    <xdr:to>
      <xdr:col>2</xdr:col>
      <xdr:colOff>440269</xdr:colOff>
      <xdr:row>2</xdr:row>
      <xdr:rowOff>26489</xdr:rowOff>
    </xdr:to>
    <xdr:pic>
      <xdr:nvPicPr>
        <xdr:cNvPr id="44" name="Graphic 43" descr="Medical with solid fill">
          <a:extLst>
            <a:ext uri="{FF2B5EF4-FFF2-40B4-BE49-F238E27FC236}">
              <a16:creationId xmlns:a16="http://schemas.microsoft.com/office/drawing/2014/main" id="{2BEE9993-3C69-4882-B3F6-5D26FB1EEC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921780" y="0"/>
          <a:ext cx="314356" cy="31435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X NATEBOU EMMAN" refreshedDate="46321.158795833333" createdVersion="8" refreshedVersion="8" minRefreshableVersion="3" recordCount="1000" xr:uid="{D0728879-8C25-400F-BB07-9E47AFC36D41}">
  <cacheSource type="worksheet">
    <worksheetSource ref="A1:P1001" sheet="Hospital Patients"/>
  </cacheSource>
  <cacheFields count="19">
    <cacheField name="Patient ID" numFmtId="0">
      <sharedItems/>
    </cacheField>
    <cacheField name="Patient Name" numFmtId="0">
      <sharedItems/>
    </cacheField>
    <cacheField name="Age" numFmtId="0">
      <sharedItems containsSemiMixedTypes="0" containsString="0" containsNumber="1" containsInteger="1" minValue="1" maxValue="85"/>
    </cacheField>
    <cacheField name="Age Categories" numFmtId="0">
      <sharedItems count="7">
        <s v="Middle Aged"/>
        <s v="Young Old"/>
        <s v="Young Adult"/>
        <s v="Child"/>
        <s v="Oldest Old"/>
        <s v="Adolescent"/>
        <s v="Infant"/>
      </sharedItems>
    </cacheField>
    <cacheField name="Gender" numFmtId="0">
      <sharedItems count="2">
        <s v="Male"/>
        <s v="Female"/>
      </sharedItems>
    </cacheField>
    <cacheField name="Admission Date" numFmtId="165">
      <sharedItems containsSemiMixedTypes="0" containsNonDate="0" containsDate="1" containsString="0" minDate="2024-01-01T00:00:00" maxDate="2025-12-29T00:00:00" count="533">
        <d v="2024-07-15T00:00:00"/>
        <d v="2025-03-13T00:00:00"/>
        <d v="2024-04-05T00:00:00"/>
        <d v="2024-10-23T00:00:00"/>
        <d v="2024-11-25T00:00:00"/>
        <d v="2024-07-21T00:00:00"/>
        <d v="2024-02-09T00:00:00"/>
        <d v="2024-02-24T00:00:00"/>
        <d v="2024-11-11T00:00:00"/>
        <d v="2025-08-05T00:00:00"/>
        <d v="2025-11-06T00:00:00"/>
        <d v="2025-03-03T00:00:00"/>
        <d v="2024-07-27T00:00:00"/>
        <d v="2024-08-20T00:00:00"/>
        <d v="2025-12-12T00:00:00"/>
        <d v="2025-02-07T00:00:00"/>
        <d v="2024-08-24T00:00:00"/>
        <d v="2024-05-27T00:00:00"/>
        <d v="2024-12-23T00:00:00"/>
        <d v="2025-05-27T00:00:00"/>
        <d v="2025-10-22T00:00:00"/>
        <d v="2025-02-11T00:00:00"/>
        <d v="2024-11-17T00:00:00"/>
        <d v="2024-03-19T00:00:00"/>
        <d v="2025-02-18T00:00:00"/>
        <d v="2024-06-20T00:00:00"/>
        <d v="2024-06-03T00:00:00"/>
        <d v="2025-01-25T00:00:00"/>
        <d v="2025-04-06T00:00:00"/>
        <d v="2024-10-01T00:00:00"/>
        <d v="2024-06-23T00:00:00"/>
        <d v="2024-03-20T00:00:00"/>
        <d v="2025-05-21T00:00:00"/>
        <d v="2025-10-15T00:00:00"/>
        <d v="2025-03-21T00:00:00"/>
        <d v="2025-08-09T00:00:00"/>
        <d v="2025-06-03T00:00:00"/>
        <d v="2024-12-10T00:00:00"/>
        <d v="2024-12-17T00:00:00"/>
        <d v="2025-02-13T00:00:00"/>
        <d v="2025-11-18T00:00:00"/>
        <d v="2025-09-05T00:00:00"/>
        <d v="2024-12-12T00:00:00"/>
        <d v="2024-07-17T00:00:00"/>
        <d v="2024-05-13T00:00:00"/>
        <d v="2025-01-06T00:00:00"/>
        <d v="2025-11-05T00:00:00"/>
        <d v="2024-09-10T00:00:00"/>
        <d v="2025-09-20T00:00:00"/>
        <d v="2024-07-06T00:00:00"/>
        <d v="2024-10-10T00:00:00"/>
        <d v="2025-04-04T00:00:00"/>
        <d v="2025-01-05T00:00:00"/>
        <d v="2024-11-12T00:00:00"/>
        <d v="2024-03-21T00:00:00"/>
        <d v="2025-05-05T00:00:00"/>
        <d v="2024-05-23T00:00:00"/>
        <d v="2025-04-29T00:00:00"/>
        <d v="2025-04-24T00:00:00"/>
        <d v="2024-04-23T00:00:00"/>
        <d v="2025-10-12T00:00:00"/>
        <d v="2025-01-24T00:00:00"/>
        <d v="2025-11-25T00:00:00"/>
        <d v="2025-03-15T00:00:00"/>
        <d v="2024-05-24T00:00:00"/>
        <d v="2025-04-05T00:00:00"/>
        <d v="2025-12-22T00:00:00"/>
        <d v="2025-01-19T00:00:00"/>
        <d v="2024-10-21T00:00:00"/>
        <d v="2025-11-08T00:00:00"/>
        <d v="2025-04-01T00:00:00"/>
        <d v="2025-09-03T00:00:00"/>
        <d v="2025-07-05T00:00:00"/>
        <d v="2024-07-10T00:00:00"/>
        <d v="2024-02-01T00:00:00"/>
        <d v="2024-04-26T00:00:00"/>
        <d v="2025-01-02T00:00:00"/>
        <d v="2025-11-28T00:00:00"/>
        <d v="2025-03-04T00:00:00"/>
        <d v="2025-01-22T00:00:00"/>
        <d v="2025-05-01T00:00:00"/>
        <d v="2024-08-26T00:00:00"/>
        <d v="2025-08-26T00:00:00"/>
        <d v="2025-04-28T00:00:00"/>
        <d v="2024-10-24T00:00:00"/>
        <d v="2024-10-29T00:00:00"/>
        <d v="2025-04-18T00:00:00"/>
        <d v="2024-12-20T00:00:00"/>
        <d v="2024-11-16T00:00:00"/>
        <d v="2024-02-04T00:00:00"/>
        <d v="2024-04-10T00:00:00"/>
        <d v="2024-02-25T00:00:00"/>
        <d v="2025-04-11T00:00:00"/>
        <d v="2025-01-12T00:00:00"/>
        <d v="2025-07-27T00:00:00"/>
        <d v="2025-02-15T00:00:00"/>
        <d v="2024-04-09T00:00:00"/>
        <d v="2025-05-07T00:00:00"/>
        <d v="2024-04-20T00:00:00"/>
        <d v="2024-10-15T00:00:00"/>
        <d v="2024-12-04T00:00:00"/>
        <d v="2024-01-05T00:00:00"/>
        <d v="2024-05-08T00:00:00"/>
        <d v="2025-09-12T00:00:00"/>
        <d v="2024-03-26T00:00:00"/>
        <d v="2024-06-17T00:00:00"/>
        <d v="2025-06-13T00:00:00"/>
        <d v="2024-07-05T00:00:00"/>
        <d v="2025-09-09T00:00:00"/>
        <d v="2024-08-25T00:00:00"/>
        <d v="2024-05-21T00:00:00"/>
        <d v="2024-11-05T00:00:00"/>
        <d v="2025-05-09T00:00:00"/>
        <d v="2024-04-17T00:00:00"/>
        <d v="2024-08-11T00:00:00"/>
        <d v="2024-04-08T00:00:00"/>
        <d v="2025-10-06T00:00:00"/>
        <d v="2024-03-02T00:00:00"/>
        <d v="2024-11-29T00:00:00"/>
        <d v="2025-05-16T00:00:00"/>
        <d v="2024-10-22T00:00:00"/>
        <d v="2025-08-30T00:00:00"/>
        <d v="2024-11-23T00:00:00"/>
        <d v="2024-06-15T00:00:00"/>
        <d v="2025-07-03T00:00:00"/>
        <d v="2025-04-02T00:00:00"/>
        <d v="2024-06-22T00:00:00"/>
        <d v="2024-07-08T00:00:00"/>
        <d v="2025-04-07T00:00:00"/>
        <d v="2024-01-04T00:00:00"/>
        <d v="2024-05-02T00:00:00"/>
        <d v="2025-07-23T00:00:00"/>
        <d v="2025-07-11T00:00:00"/>
        <d v="2024-03-31T00:00:00"/>
        <d v="2025-09-04T00:00:00"/>
        <d v="2024-12-21T00:00:00"/>
        <d v="2025-05-22T00:00:00"/>
        <d v="2024-04-18T00:00:00"/>
        <d v="2025-03-29T00:00:00"/>
        <d v="2024-09-07T00:00:00"/>
        <d v="2024-07-23T00:00:00"/>
        <d v="2024-06-26T00:00:00"/>
        <d v="2025-09-26T00:00:00"/>
        <d v="2024-09-05T00:00:00"/>
        <d v="2024-08-10T00:00:00"/>
        <d v="2024-07-02T00:00:00"/>
        <d v="2024-05-05T00:00:00"/>
        <d v="2024-02-02T00:00:00"/>
        <d v="2024-11-21T00:00:00"/>
        <d v="2025-09-13T00:00:00"/>
        <d v="2025-08-15T00:00:00"/>
        <d v="2025-07-31T00:00:00"/>
        <d v="2025-02-09T00:00:00"/>
        <d v="2025-06-12T00:00:00"/>
        <d v="2024-08-28T00:00:00"/>
        <d v="2025-06-23T00:00:00"/>
        <d v="2025-03-01T00:00:00"/>
        <d v="2025-10-04T00:00:00"/>
        <d v="2024-02-11T00:00:00"/>
        <d v="2025-10-29T00:00:00"/>
        <d v="2025-05-08T00:00:00"/>
        <d v="2024-01-09T00:00:00"/>
        <d v="2025-01-21T00:00:00"/>
        <d v="2025-06-17T00:00:00"/>
        <d v="2025-08-22T00:00:00"/>
        <d v="2024-12-25T00:00:00"/>
        <d v="2024-09-13T00:00:00"/>
        <d v="2024-03-01T00:00:00"/>
        <d v="2025-10-21T00:00:00"/>
        <d v="2025-03-22T00:00:00"/>
        <d v="2024-03-11T00:00:00"/>
        <d v="2024-12-13T00:00:00"/>
        <d v="2024-10-20T00:00:00"/>
        <d v="2024-09-15T00:00:00"/>
        <d v="2025-12-03T00:00:00"/>
        <d v="2024-11-30T00:00:00"/>
        <d v="2025-05-28T00:00:00"/>
        <d v="2025-02-17T00:00:00"/>
        <d v="2024-07-18T00:00:00"/>
        <d v="2024-03-04T00:00:00"/>
        <d v="2025-12-21T00:00:00"/>
        <d v="2025-01-03T00:00:00"/>
        <d v="2025-02-16T00:00:00"/>
        <d v="2025-06-01T00:00:00"/>
        <d v="2024-08-05T00:00:00"/>
        <d v="2025-06-26T00:00:00"/>
        <d v="2024-09-06T00:00:00"/>
        <d v="2024-08-04T00:00:00"/>
        <d v="2024-03-24T00:00:00"/>
        <d v="2025-01-01T00:00:00"/>
        <d v="2025-11-17T00:00:00"/>
        <d v="2025-11-29T00:00:00"/>
        <d v="2024-10-09T00:00:00"/>
        <d v="2024-09-18T00:00:00"/>
        <d v="2025-07-26T00:00:00"/>
        <d v="2024-06-12T00:00:00"/>
        <d v="2024-11-09T00:00:00"/>
        <d v="2025-02-14T00:00:00"/>
        <d v="2025-02-28T00:00:00"/>
        <d v="2025-03-31T00:00:00"/>
        <d v="2024-10-13T00:00:00"/>
        <d v="2024-06-24T00:00:00"/>
        <d v="2024-01-10T00:00:00"/>
        <d v="2024-08-18T00:00:00"/>
        <d v="2024-12-24T00:00:00"/>
        <d v="2025-04-10T00:00:00"/>
        <d v="2025-12-04T00:00:00"/>
        <d v="2024-11-28T00:00:00"/>
        <d v="2025-07-14T00:00:00"/>
        <d v="2025-09-16T00:00:00"/>
        <d v="2025-04-23T00:00:00"/>
        <d v="2025-11-02T00:00:00"/>
        <d v="2025-11-21T00:00:00"/>
        <d v="2025-04-17T00:00:00"/>
        <d v="2025-02-23T00:00:00"/>
        <d v="2024-04-24T00:00:00"/>
        <d v="2025-12-19T00:00:00"/>
        <d v="2024-10-26T00:00:00"/>
        <d v="2024-08-27T00:00:00"/>
        <d v="2025-06-07T00:00:00"/>
        <d v="2025-07-25T00:00:00"/>
        <d v="2025-09-19T00:00:00"/>
        <d v="2024-03-15T00:00:00"/>
        <d v="2025-12-08T00:00:00"/>
        <d v="2024-12-08T00:00:00"/>
        <d v="2025-10-03T00:00:00"/>
        <d v="2024-02-26T00:00:00"/>
        <d v="2025-07-15T00:00:00"/>
        <d v="2024-09-12T00:00:00"/>
        <d v="2024-10-14T00:00:00"/>
        <d v="2025-07-30T00:00:00"/>
        <d v="2024-12-22T00:00:00"/>
        <d v="2025-09-29T00:00:00"/>
        <d v="2024-02-21T00:00:00"/>
        <d v="2024-07-13T00:00:00"/>
        <d v="2024-05-31T00:00:00"/>
        <d v="2024-08-03T00:00:00"/>
        <d v="2025-05-17T00:00:00"/>
        <d v="2024-09-24T00:00:00"/>
        <d v="2025-04-16T00:00:00"/>
        <d v="2025-08-13T00:00:00"/>
        <d v="2024-04-13T00:00:00"/>
        <d v="2025-12-28T00:00:00"/>
        <d v="2024-02-20T00:00:00"/>
        <d v="2025-03-28T00:00:00"/>
        <d v="2025-09-28T00:00:00"/>
        <d v="2024-11-19T00:00:00"/>
        <d v="2025-08-19T00:00:00"/>
        <d v="2024-09-09T00:00:00"/>
        <d v="2024-08-15T00:00:00"/>
        <d v="2025-08-18T00:00:00"/>
        <d v="2024-06-04T00:00:00"/>
        <d v="2025-07-12T00:00:00"/>
        <d v="2025-03-27T00:00:00"/>
        <d v="2025-06-11T00:00:00"/>
        <d v="2024-05-14T00:00:00"/>
        <d v="2024-03-08T00:00:00"/>
        <d v="2025-06-25T00:00:00"/>
        <d v="2024-07-11T00:00:00"/>
        <d v="2025-11-12T00:00:00"/>
        <d v="2024-03-03T00:00:00"/>
        <d v="2025-03-30T00:00:00"/>
        <d v="2025-04-20T00:00:00"/>
        <d v="2025-12-05T00:00:00"/>
        <d v="2025-10-10T00:00:00"/>
        <d v="2024-05-22T00:00:00"/>
        <d v="2025-01-15T00:00:00"/>
        <d v="2024-03-06T00:00:00"/>
        <d v="2025-01-13T00:00:00"/>
        <d v="2025-09-06T00:00:00"/>
        <d v="2025-10-07T00:00:00"/>
        <d v="2025-07-10T00:00:00"/>
        <d v="2024-05-19T00:00:00"/>
        <d v="2024-08-21T00:00:00"/>
        <d v="2024-08-02T00:00:00"/>
        <d v="2025-03-20T00:00:00"/>
        <d v="2024-04-16T00:00:00"/>
        <d v="2024-06-11T00:00:00"/>
        <d v="2024-10-04T00:00:00"/>
        <d v="2025-12-02T00:00:00"/>
        <d v="2025-07-24T00:00:00"/>
        <d v="2025-05-10T00:00:00"/>
        <d v="2024-02-03T00:00:00"/>
        <d v="2024-10-27T00:00:00"/>
        <d v="2025-02-04T00:00:00"/>
        <d v="2025-11-10T00:00:00"/>
        <d v="2025-07-07T00:00:00"/>
        <d v="2025-12-11T00:00:00"/>
        <d v="2025-04-21T00:00:00"/>
        <d v="2024-10-30T00:00:00"/>
        <d v="2024-10-25T00:00:00"/>
        <d v="2024-04-03T00:00:00"/>
        <d v="2024-03-27T00:00:00"/>
        <d v="2024-08-31T00:00:00"/>
        <d v="2024-01-02T00:00:00"/>
        <d v="2025-09-30T00:00:00"/>
        <d v="2024-06-01T00:00:00"/>
        <d v="2024-01-14T00:00:00"/>
        <d v="2025-10-11T00:00:00"/>
        <d v="2024-01-01T00:00:00"/>
        <d v="2025-07-19T00:00:00"/>
        <d v="2024-10-17T00:00:00"/>
        <d v="2024-12-15T00:00:00"/>
        <d v="2024-05-29T00:00:00"/>
        <d v="2024-02-14T00:00:00"/>
        <d v="2024-01-03T00:00:00"/>
        <d v="2025-04-03T00:00:00"/>
        <d v="2024-08-23T00:00:00"/>
        <d v="2025-11-19T00:00:00"/>
        <d v="2025-04-08T00:00:00"/>
        <d v="2025-12-24T00:00:00"/>
        <d v="2025-11-09T00:00:00"/>
        <d v="2025-07-02T00:00:00"/>
        <d v="2024-01-06T00:00:00"/>
        <d v="2024-09-29T00:00:00"/>
        <d v="2024-05-16T00:00:00"/>
        <d v="2024-03-25T00:00:00"/>
        <d v="2024-01-16T00:00:00"/>
        <d v="2025-09-25T00:00:00"/>
        <d v="2025-05-19T00:00:00"/>
        <d v="2025-12-14T00:00:00"/>
        <d v="2024-02-19T00:00:00"/>
        <d v="2024-07-03T00:00:00"/>
        <d v="2024-08-06T00:00:00"/>
        <d v="2024-12-05T00:00:00"/>
        <d v="2024-12-27T00:00:00"/>
        <d v="2025-08-16T00:00:00"/>
        <d v="2024-05-12T00:00:00"/>
        <d v="2025-02-19T00:00:00"/>
        <d v="2025-04-14T00:00:00"/>
        <d v="2025-01-18T00:00:00"/>
        <d v="2025-07-08T00:00:00"/>
        <d v="2025-06-24T00:00:00"/>
        <d v="2024-07-09T00:00:00"/>
        <d v="2025-01-23T00:00:00"/>
        <d v="2025-12-23T00:00:00"/>
        <d v="2024-06-27T00:00:00"/>
        <d v="2024-02-28T00:00:00"/>
        <d v="2025-03-05T00:00:00"/>
        <d v="2024-11-03T00:00:00"/>
        <d v="2024-11-10T00:00:00"/>
        <d v="2025-12-13T00:00:00"/>
        <d v="2024-05-17T00:00:00"/>
        <d v="2025-02-06T00:00:00"/>
        <d v="2025-09-07T00:00:00"/>
        <d v="2024-05-25T00:00:00"/>
        <d v="2025-05-06T00:00:00"/>
        <d v="2024-07-04T00:00:00"/>
        <d v="2025-01-26T00:00:00"/>
        <d v="2024-07-31T00:00:00"/>
        <d v="2025-07-09T00:00:00"/>
        <d v="2025-05-14T00:00:00"/>
        <d v="2024-03-09T00:00:00"/>
        <d v="2025-11-22T00:00:00"/>
        <d v="2024-05-26T00:00:00"/>
        <d v="2025-01-29T00:00:00"/>
        <d v="2024-11-02T00:00:00"/>
        <d v="2025-11-14T00:00:00"/>
        <d v="2025-05-15T00:00:00"/>
        <d v="2025-10-02T00:00:00"/>
        <d v="2024-12-31T00:00:00"/>
        <d v="2025-01-04T00:00:00"/>
        <d v="2025-01-09T00:00:00"/>
        <d v="2025-09-10T00:00:00"/>
        <d v="2024-04-28T00:00:00"/>
        <d v="2025-07-18T00:00:00"/>
        <d v="2024-02-06T00:00:00"/>
        <d v="2025-10-20T00:00:00"/>
        <d v="2024-07-22T00:00:00"/>
        <d v="2024-10-31T00:00:00"/>
        <d v="2024-09-08T00:00:00"/>
        <d v="2025-09-08T00:00:00"/>
        <d v="2024-06-08T00:00:00"/>
        <d v="2024-06-29T00:00:00"/>
        <d v="2025-11-20T00:00:00"/>
        <d v="2024-09-30T00:00:00"/>
        <d v="2025-01-30T00:00:00"/>
        <d v="2024-01-13T00:00:00"/>
        <d v="2025-10-13T00:00:00"/>
        <d v="2025-05-25T00:00:00"/>
        <d v="2025-06-19T00:00:00"/>
        <d v="2024-08-16T00:00:00"/>
        <d v="2025-10-18T00:00:00"/>
        <d v="2024-02-05T00:00:00"/>
        <d v="2024-08-12T00:00:00"/>
        <d v="2024-09-14T00:00:00"/>
        <d v="2024-05-01T00:00:00"/>
        <d v="2024-01-24T00:00:00"/>
        <d v="2025-04-09T00:00:00"/>
        <d v="2025-03-08T00:00:00"/>
        <d v="2024-08-19T00:00:00"/>
        <d v="2024-04-25T00:00:00"/>
        <d v="2025-04-30T00:00:00"/>
        <d v="2025-07-01T00:00:00"/>
        <d v="2025-09-23T00:00:00"/>
        <d v="2024-06-30T00:00:00"/>
        <d v="2024-07-16T00:00:00"/>
        <d v="2025-08-04T00:00:00"/>
        <d v="2024-07-25T00:00:00"/>
        <d v="2025-03-23T00:00:00"/>
        <d v="2024-12-28T00:00:00"/>
        <d v="2024-04-12T00:00:00"/>
        <d v="2025-03-25T00:00:00"/>
        <d v="2024-03-17T00:00:00"/>
        <d v="2025-09-18T00:00:00"/>
        <d v="2024-02-08T00:00:00"/>
        <d v="2025-07-22T00:00:00"/>
        <d v="2024-06-10T00:00:00"/>
        <d v="2025-05-18T00:00:00"/>
        <d v="2025-05-02T00:00:00"/>
        <d v="2025-08-25T00:00:00"/>
        <d v="2024-01-26T00:00:00"/>
        <d v="2025-10-26T00:00:00"/>
        <d v="2024-07-28T00:00:00"/>
        <d v="2025-06-04T00:00:00"/>
        <d v="2024-11-04T00:00:00"/>
        <d v="2025-06-28T00:00:00"/>
        <d v="2024-09-01T00:00:00"/>
        <d v="2024-11-13T00:00:00"/>
        <d v="2024-05-07T00:00:00"/>
        <d v="2025-10-30T00:00:00"/>
        <d v="2025-04-13T00:00:00"/>
        <d v="2024-09-02T00:00:00"/>
        <d v="2024-01-23T00:00:00"/>
        <d v="2024-03-30T00:00:00"/>
        <d v="2025-12-17T00:00:00"/>
        <d v="2024-03-28T00:00:00"/>
        <d v="2025-10-25T00:00:00"/>
        <d v="2024-04-06T00:00:00"/>
        <d v="2024-12-09T00:00:00"/>
        <d v="2024-05-06T00:00:00"/>
        <d v="2024-02-12T00:00:00"/>
        <d v="2024-07-20T00:00:00"/>
        <d v="2024-03-18T00:00:00"/>
        <d v="2025-07-17T00:00:00"/>
        <d v="2024-04-22T00:00:00"/>
        <d v="2025-11-04T00:00:00"/>
        <d v="2025-06-06T00:00:00"/>
        <d v="2025-08-31T00:00:00"/>
        <d v="2025-03-10T00:00:00"/>
        <d v="2024-12-26T00:00:00"/>
        <d v="2025-09-17T00:00:00"/>
        <d v="2025-11-23T00:00:00"/>
        <d v="2025-10-23T00:00:00"/>
        <d v="2025-01-16T00:00:00"/>
        <d v="2024-12-19T00:00:00"/>
        <d v="2024-03-14T00:00:00"/>
        <d v="2025-03-26T00:00:00"/>
        <d v="2025-08-28T00:00:00"/>
        <d v="2025-01-07T00:00:00"/>
        <d v="2024-09-23T00:00:00"/>
        <d v="2025-05-13T00:00:00"/>
        <d v="2025-03-24T00:00:00"/>
        <d v="2024-09-16T00:00:00"/>
        <d v="2025-08-10T00:00:00"/>
        <d v="2025-01-17T00:00:00"/>
        <d v="2024-08-17T00:00:00"/>
        <d v="2024-06-06T00:00:00"/>
        <d v="2025-12-25T00:00:00"/>
        <d v="2024-05-28T00:00:00"/>
        <d v="2024-10-12T00:00:00"/>
        <d v="2025-01-31T00:00:00"/>
        <d v="2024-01-15T00:00:00"/>
        <d v="2024-12-02T00:00:00"/>
        <d v="2025-11-26T00:00:00"/>
        <d v="2025-07-29T00:00:00"/>
        <d v="2024-11-01T00:00:00"/>
        <d v="2025-12-01T00:00:00"/>
        <d v="2024-09-22T00:00:00"/>
        <d v="2024-01-25T00:00:00"/>
        <d v="2025-02-20T00:00:00"/>
        <d v="2025-02-21T00:00:00"/>
        <d v="2024-02-27T00:00:00"/>
        <d v="2025-08-17T00:00:00"/>
        <d v="2024-02-22T00:00:00"/>
        <d v="2024-02-13T00:00:00"/>
        <d v="2025-10-09T00:00:00"/>
        <d v="2025-10-31T00:00:00"/>
        <d v="2024-04-02T00:00:00"/>
        <d v="2025-09-21T00:00:00"/>
        <d v="2024-10-05T00:00:00"/>
        <d v="2024-11-06T00:00:00"/>
        <d v="2025-10-17T00:00:00"/>
        <d v="2025-11-13T00:00:00"/>
        <d v="2024-04-01T00:00:00"/>
        <d v="2024-11-15T00:00:00"/>
        <d v="2025-10-08T00:00:00"/>
        <d v="2024-06-09T00:00:00"/>
        <d v="2024-10-08T00:00:00"/>
        <d v="2024-09-17T00:00:00"/>
        <d v="2025-07-06T00:00:00"/>
        <d v="2025-12-06T00:00:00"/>
        <d v="2024-04-04T00:00:00"/>
        <d v="2024-04-27T00:00:00"/>
        <d v="2025-10-01T00:00:00"/>
        <d v="2024-09-04T00:00:00"/>
        <d v="2024-03-13T00:00:00"/>
        <d v="2025-04-25T00:00:00"/>
        <d v="2024-10-11T00:00:00"/>
        <d v="2025-11-03T00:00:00"/>
        <d v="2024-12-07T00:00:00"/>
        <d v="2024-05-10T00:00:00"/>
        <d v="2025-11-07T00:00:00"/>
        <d v="2025-03-06T00:00:00"/>
        <d v="2024-04-30T00:00:00"/>
        <d v="2024-11-08T00:00:00"/>
        <d v="2025-01-27T00:00:00"/>
        <d v="2024-06-07T00:00:00"/>
        <d v="2025-11-16T00:00:00"/>
        <d v="2025-05-24T00:00:00"/>
        <d v="2024-11-27T00:00:00"/>
        <d v="2024-08-14T00:00:00"/>
        <d v="2024-06-18T00:00:00"/>
        <d v="2025-11-30T00:00:00"/>
        <d v="2025-09-15T00:00:00"/>
        <d v="2025-12-20T00:00:00"/>
        <d v="2024-01-31T00:00:00"/>
        <d v="2025-06-05T00:00:00"/>
        <d v="2025-03-18T00:00:00"/>
        <d v="2024-07-30T00:00:00"/>
        <d v="2025-03-17T00:00:00"/>
        <d v="2024-08-22T00:00:00"/>
        <d v="2024-06-19T00:00:00"/>
        <d v="2025-02-08T00:00:00"/>
        <d v="2025-11-27T00:00:00"/>
        <d v="2025-03-19T00:00:00"/>
        <d v="2025-08-07T00:00:00"/>
        <d v="2025-12-18T00:00:00"/>
        <d v="2025-06-09T00:00:00"/>
        <d v="2025-08-24T00:00:00"/>
        <d v="2024-10-03T00:00:00"/>
        <d v="2025-04-22T00:00:00"/>
        <d v="2025-08-08T00:00:00"/>
      </sharedItems>
      <fieldGroup par="18"/>
    </cacheField>
    <cacheField name="Discharge Date" numFmtId="165">
      <sharedItems containsSemiMixedTypes="0" containsNonDate="0" containsDate="1" containsString="0" minDate="2024-01-02T00:00:00" maxDate="2026-01-04T00:00:00"/>
    </cacheField>
    <cacheField name="Length of Stay" numFmtId="1">
      <sharedItems containsSemiMixedTypes="0" containsString="0" containsNumber="1" containsInteger="1" minValue="1" maxValue="14"/>
    </cacheField>
    <cacheField name="Department" numFmtId="0">
      <sharedItems count="6">
        <s v="Cardiology"/>
        <s v="Emergency"/>
        <s v="General"/>
        <s v="Pediatrics"/>
        <s v="Orthopedics"/>
        <s v="Neurology"/>
      </sharedItems>
    </cacheField>
    <cacheField name="Diagnosis" numFmtId="0">
      <sharedItems count="38">
        <s v="Atrial Fibrillation"/>
        <s v="Angina"/>
        <s v="Abdominal Pain"/>
        <s v="Concussion"/>
        <s v="Flu Complications"/>
        <s v="Diabetes Management"/>
        <s v="Arrhythmia"/>
        <s v="Severe Allergic Reaction"/>
        <s v="Anemia"/>
        <s v="RSV"/>
        <s v="Dehydration"/>
        <s v="Rotator Cuff Injury"/>
        <s v="Neuropathy"/>
        <s v="Knee Replacement"/>
        <s v="ACL Tear"/>
        <s v="Burns"/>
        <s v="Gastritis"/>
        <s v="Multiple Sclerosis"/>
        <s v="Carpal Tunnel"/>
        <s v="Heart Failure"/>
        <s v="Hypertension"/>
        <s v="Pneumonia"/>
        <s v="Asthma"/>
        <s v="Tonsillitis"/>
        <s v="Ear Infection"/>
        <s v="Allergic Reaction"/>
        <s v="Hip Fracture"/>
        <s v="Spinal Disc Herniation"/>
        <s v="Parkinson's Disease"/>
        <s v="Coronary Artery Disease"/>
        <s v="Stroke"/>
        <s v="Fracture"/>
        <s v="Acute Appendicitis"/>
        <s v="UTI"/>
        <s v="Epilepsy"/>
        <s v="Migraine"/>
        <s v="Chest Pain"/>
        <s v="Bronchitis"/>
      </sharedItems>
    </cacheField>
    <cacheField name="Total Bill Amount" numFmtId="164">
      <sharedItems containsSemiMixedTypes="0" containsString="0" containsNumber="1" minValue="534.38" maxValue="38501.9"/>
    </cacheField>
    <cacheField name="Insurance  Coverage" numFmtId="9">
      <sharedItems containsSemiMixedTypes="0" containsString="0" containsNumber="1" minValue="0" maxValue="1"/>
    </cacheField>
    <cacheField name="Est. Insurance Coverage Amount" numFmtId="164">
      <sharedItems containsSemiMixedTypes="0" containsString="0" containsNumber="1" minValue="0" maxValue="35549.129999999997"/>
    </cacheField>
    <cacheField name="Patient Responsibility" numFmtId="164">
      <sharedItems containsSemiMixedTypes="0" containsString="0" containsNumber="1" minValue="0" maxValue="38493.53"/>
    </cacheField>
    <cacheField name="Payment Status" numFmtId="0">
      <sharedItems count="3">
        <s v="Paid"/>
        <s v="Pending"/>
        <s v="Partially Paid"/>
      </sharedItems>
    </cacheField>
    <cacheField name="Total Amt. Paid" numFmtId="0">
      <sharedItems containsNonDate="0" containsString="0" containsBlank="1"/>
    </cacheField>
    <cacheField name="Months (Admission Date)" numFmtId="0" databaseField="0">
      <fieldGroup base="5">
        <rangePr groupBy="months" startDate="2024-01-01T00:00:00" endDate="2025-12-29T00:00:00"/>
        <groupItems count="14">
          <s v="&lt;01 1 2024"/>
          <s v="Jan"/>
          <s v="Feb"/>
          <s v="Mar"/>
          <s v="Apr"/>
          <s v="May"/>
          <s v="Jun"/>
          <s v="Jul"/>
          <s v="Aug"/>
          <s v="Sep"/>
          <s v="Oct"/>
          <s v="Nov"/>
          <s v="Dec"/>
          <s v="&gt;12 29 2025"/>
        </groupItems>
      </fieldGroup>
    </cacheField>
    <cacheField name="Quarters (Admission Date)" numFmtId="0" databaseField="0">
      <fieldGroup base="5">
        <rangePr groupBy="quarters" startDate="2024-01-01T00:00:00" endDate="2025-12-29T00:00:00"/>
        <groupItems count="6">
          <s v="&lt;01 1 2024"/>
          <s v="Qtr1"/>
          <s v="Qtr2"/>
          <s v="Qtr3"/>
          <s v="Qtr4"/>
          <s v="&gt;12 29 2025"/>
        </groupItems>
      </fieldGroup>
    </cacheField>
    <cacheField name="Years (Admission Date)" numFmtId="0" databaseField="0">
      <fieldGroup base="5">
        <rangePr groupBy="years" startDate="2024-01-01T00:00:00" endDate="2025-12-29T00:00:00"/>
        <groupItems count="4">
          <s v="&lt;01 1 2024"/>
          <s v="2024"/>
          <s v="2025"/>
          <s v="&gt;12 29 2025"/>
        </groupItems>
      </fieldGroup>
    </cacheField>
  </cacheFields>
  <extLst>
    <ext xmlns:x14="http://schemas.microsoft.com/office/spreadsheetml/2009/9/main" uri="{725AE2AE-9491-48be-B2B4-4EB974FC3084}">
      <x14:pivotCacheDefinition pivotCacheId="1623851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AT-3001"/>
    <s v="Thomas Martin"/>
    <n v="57"/>
    <x v="0"/>
    <x v="0"/>
    <x v="0"/>
    <d v="2024-07-23T00:00:00"/>
    <n v="8"/>
    <x v="0"/>
    <x v="0"/>
    <n v="15359.41"/>
    <n v="0.6"/>
    <n v="9215.6459999999988"/>
    <n v="6143.764000000001"/>
    <x v="0"/>
    <m/>
  </r>
  <r>
    <s v="PAT-3002"/>
    <s v="Betty Thompson"/>
    <n v="62"/>
    <x v="0"/>
    <x v="1"/>
    <x v="1"/>
    <d v="2025-03-23T00:00:00"/>
    <n v="10"/>
    <x v="0"/>
    <x v="1"/>
    <n v="21896.6"/>
    <n v="0.8"/>
    <n v="17517.28"/>
    <n v="4379.32"/>
    <x v="1"/>
    <m/>
  </r>
  <r>
    <s v="PAT-3003"/>
    <s v="Lisa Rodriguez"/>
    <n v="82"/>
    <x v="1"/>
    <x v="1"/>
    <x v="2"/>
    <d v="2024-04-08T00:00:00"/>
    <n v="3"/>
    <x v="1"/>
    <x v="2"/>
    <n v="6404.86"/>
    <n v="0"/>
    <n v="0"/>
    <n v="6404.86"/>
    <x v="2"/>
    <m/>
  </r>
  <r>
    <s v="PAT-3004"/>
    <s v="Donna Jones"/>
    <n v="29"/>
    <x v="2"/>
    <x v="1"/>
    <x v="3"/>
    <d v="2024-10-24T00:00:00"/>
    <n v="1"/>
    <x v="1"/>
    <x v="3"/>
    <n v="1001.68"/>
    <n v="0.9"/>
    <n v="901.51199999999994"/>
    <n v="100.16800000000001"/>
    <x v="1"/>
    <m/>
  </r>
  <r>
    <s v="PAT-3005"/>
    <s v="Michael Walker"/>
    <n v="65"/>
    <x v="1"/>
    <x v="0"/>
    <x v="4"/>
    <d v="2024-12-01T00:00:00"/>
    <n v="6"/>
    <x v="2"/>
    <x v="4"/>
    <n v="4022.42"/>
    <n v="0.8"/>
    <n v="3217.9360000000001"/>
    <n v="804.48399999999992"/>
    <x v="1"/>
    <m/>
  </r>
  <r>
    <s v="PAT-3006"/>
    <s v="Kenneth Lewis"/>
    <n v="53"/>
    <x v="0"/>
    <x v="0"/>
    <x v="5"/>
    <d v="2024-07-28T00:00:00"/>
    <n v="7"/>
    <x v="2"/>
    <x v="5"/>
    <n v="6621.96"/>
    <n v="0.5"/>
    <n v="3310.98"/>
    <n v="3310.98"/>
    <x v="2"/>
    <m/>
  </r>
  <r>
    <s v="PAT-3007"/>
    <s v="Linda Smith"/>
    <n v="46"/>
    <x v="0"/>
    <x v="1"/>
    <x v="6"/>
    <d v="2024-02-13T00:00:00"/>
    <n v="4"/>
    <x v="0"/>
    <x v="6"/>
    <n v="7676.36"/>
    <n v="0.7"/>
    <n v="5373.4519999999993"/>
    <n v="2302.9080000000004"/>
    <x v="2"/>
    <m/>
  </r>
  <r>
    <s v="PAT-3008"/>
    <s v="Susan Garcia"/>
    <n v="21"/>
    <x v="2"/>
    <x v="1"/>
    <x v="7"/>
    <d v="2024-02-27T00:00:00"/>
    <n v="3"/>
    <x v="1"/>
    <x v="7"/>
    <n v="7381.69"/>
    <n v="0.8"/>
    <n v="5905.3519999999999"/>
    <n v="1476.3379999999997"/>
    <x v="1"/>
    <m/>
  </r>
  <r>
    <s v="PAT-3009"/>
    <s v="James Jones"/>
    <n v="62"/>
    <x v="0"/>
    <x v="0"/>
    <x v="8"/>
    <d v="2024-11-17T00:00:00"/>
    <n v="6"/>
    <x v="2"/>
    <x v="8"/>
    <n v="5206.3999999999996"/>
    <n v="0.8"/>
    <n v="4165.12"/>
    <n v="1041.2799999999997"/>
    <x v="1"/>
    <m/>
  </r>
  <r>
    <s v="PAT-3010"/>
    <s v="Christopher Johnson"/>
    <n v="59"/>
    <x v="0"/>
    <x v="0"/>
    <x v="9"/>
    <d v="2025-08-06T00:00:00"/>
    <n v="1"/>
    <x v="1"/>
    <x v="7"/>
    <n v="2498.98"/>
    <n v="0.5"/>
    <n v="1249.49"/>
    <n v="1249.49"/>
    <x v="1"/>
    <m/>
  </r>
  <r>
    <s v="PAT-3011"/>
    <s v="Daniel Thomas"/>
    <n v="7"/>
    <x v="3"/>
    <x v="0"/>
    <x v="10"/>
    <d v="2025-11-08T00:00:00"/>
    <n v="2"/>
    <x v="3"/>
    <x v="9"/>
    <n v="2096.73"/>
    <n v="0.7"/>
    <n v="1467.711"/>
    <n v="629.01900000000001"/>
    <x v="0"/>
    <m/>
  </r>
  <r>
    <s v="PAT-3012"/>
    <s v="Sandra Smith"/>
    <n v="85"/>
    <x v="4"/>
    <x v="1"/>
    <x v="11"/>
    <d v="2025-03-08T00:00:00"/>
    <n v="5"/>
    <x v="2"/>
    <x v="10"/>
    <n v="4619.6099999999997"/>
    <n v="0.7"/>
    <n v="3233.7269999999994"/>
    <n v="1385.8830000000003"/>
    <x v="1"/>
    <m/>
  </r>
  <r>
    <s v="PAT-3013"/>
    <s v="Michael Smith"/>
    <n v="40"/>
    <x v="2"/>
    <x v="0"/>
    <x v="12"/>
    <d v="2024-07-29T00:00:00"/>
    <n v="2"/>
    <x v="1"/>
    <x v="2"/>
    <n v="3367.87"/>
    <n v="0.9"/>
    <n v="3031.0830000000001"/>
    <n v="336.78699999999981"/>
    <x v="0"/>
    <m/>
  </r>
  <r>
    <s v="PAT-3014"/>
    <s v="Thomas Taylor"/>
    <n v="24"/>
    <x v="2"/>
    <x v="0"/>
    <x v="13"/>
    <d v="2024-08-22T00:00:00"/>
    <n v="2"/>
    <x v="2"/>
    <x v="5"/>
    <n v="2287.25"/>
    <n v="0.6"/>
    <n v="1372.35"/>
    <n v="914.90000000000009"/>
    <x v="0"/>
    <m/>
  </r>
  <r>
    <s v="PAT-3015"/>
    <s v="Jennifer Williams"/>
    <n v="67"/>
    <x v="1"/>
    <x v="1"/>
    <x v="14"/>
    <d v="2025-12-21T00:00:00"/>
    <n v="9"/>
    <x v="4"/>
    <x v="11"/>
    <n v="12489.51"/>
    <n v="1"/>
    <n v="12489.51"/>
    <n v="0"/>
    <x v="0"/>
    <m/>
  </r>
  <r>
    <s v="PAT-3016"/>
    <s v="Nancy Lee"/>
    <n v="70"/>
    <x v="1"/>
    <x v="1"/>
    <x v="15"/>
    <d v="2025-02-13T00:00:00"/>
    <n v="6"/>
    <x v="2"/>
    <x v="5"/>
    <n v="4262.21"/>
    <n v="1"/>
    <n v="4262.21"/>
    <n v="0"/>
    <x v="0"/>
    <m/>
  </r>
  <r>
    <s v="PAT-3017"/>
    <s v="Kevin Miller"/>
    <n v="38"/>
    <x v="2"/>
    <x v="0"/>
    <x v="16"/>
    <d v="2024-08-28T00:00:00"/>
    <n v="4"/>
    <x v="2"/>
    <x v="5"/>
    <n v="5523.81"/>
    <n v="0.7"/>
    <n v="3866.6669999999999"/>
    <n v="1657.1430000000005"/>
    <x v="1"/>
    <m/>
  </r>
  <r>
    <s v="PAT-3018"/>
    <s v="Elizabeth Moore"/>
    <n v="81"/>
    <x v="1"/>
    <x v="1"/>
    <x v="17"/>
    <d v="2024-05-29T00:00:00"/>
    <n v="2"/>
    <x v="2"/>
    <x v="4"/>
    <n v="1097.76"/>
    <n v="0.8"/>
    <n v="878.20800000000008"/>
    <n v="219.55199999999991"/>
    <x v="0"/>
    <m/>
  </r>
  <r>
    <s v="PAT-3019"/>
    <s v="Carol Rodriguez"/>
    <n v="35"/>
    <x v="2"/>
    <x v="1"/>
    <x v="18"/>
    <d v="2024-12-29T00:00:00"/>
    <n v="6"/>
    <x v="5"/>
    <x v="12"/>
    <n v="14272.73"/>
    <n v="0.8"/>
    <n v="11418.184000000001"/>
    <n v="2854.5459999999985"/>
    <x v="1"/>
    <m/>
  </r>
  <r>
    <s v="PAT-3020"/>
    <s v="Karen Hernandez"/>
    <n v="42"/>
    <x v="2"/>
    <x v="1"/>
    <x v="19"/>
    <d v="2025-06-09T00:00:00"/>
    <n v="13"/>
    <x v="4"/>
    <x v="13"/>
    <n v="18429.310000000001"/>
    <n v="1"/>
    <n v="18429.310000000001"/>
    <n v="0"/>
    <x v="0"/>
    <m/>
  </r>
  <r>
    <s v="PAT-3021"/>
    <s v="Michael Miller"/>
    <n v="36"/>
    <x v="2"/>
    <x v="0"/>
    <x v="20"/>
    <d v="2025-10-28T00:00:00"/>
    <n v="6"/>
    <x v="4"/>
    <x v="14"/>
    <n v="11481.03"/>
    <n v="0.8"/>
    <n v="9184.8240000000005"/>
    <n v="2296.2060000000001"/>
    <x v="1"/>
    <m/>
  </r>
  <r>
    <s v="PAT-3022"/>
    <s v="Karen Martinez"/>
    <n v="67"/>
    <x v="1"/>
    <x v="1"/>
    <x v="21"/>
    <d v="2025-02-14T00:00:00"/>
    <n v="3"/>
    <x v="0"/>
    <x v="0"/>
    <n v="6324.27"/>
    <n v="0.8"/>
    <n v="5059.4160000000011"/>
    <n v="1264.8539999999994"/>
    <x v="0"/>
    <m/>
  </r>
  <r>
    <s v="PAT-3023"/>
    <s v="William Wilson"/>
    <n v="23"/>
    <x v="2"/>
    <x v="0"/>
    <x v="22"/>
    <d v="2024-11-18T00:00:00"/>
    <n v="1"/>
    <x v="1"/>
    <x v="15"/>
    <n v="1888.07"/>
    <n v="0.8"/>
    <n v="1510.4560000000001"/>
    <n v="377.61399999999981"/>
    <x v="2"/>
    <m/>
  </r>
  <r>
    <s v="PAT-3024"/>
    <s v="Ashley Young"/>
    <n v="66"/>
    <x v="1"/>
    <x v="1"/>
    <x v="23"/>
    <d v="2024-03-27T00:00:00"/>
    <n v="8"/>
    <x v="0"/>
    <x v="0"/>
    <n v="21654.18"/>
    <n v="0.7"/>
    <n v="15157.925999999999"/>
    <n v="6496.2540000000008"/>
    <x v="0"/>
    <m/>
  </r>
  <r>
    <s v="PAT-3025"/>
    <s v="Betty Wilson"/>
    <n v="57"/>
    <x v="0"/>
    <x v="1"/>
    <x v="24"/>
    <d v="2025-02-21T00:00:00"/>
    <n v="3"/>
    <x v="2"/>
    <x v="16"/>
    <n v="2641.14"/>
    <n v="1"/>
    <n v="2641.14"/>
    <n v="0"/>
    <x v="0"/>
    <m/>
  </r>
  <r>
    <s v="PAT-3026"/>
    <s v="Steven Garcia"/>
    <n v="44"/>
    <x v="2"/>
    <x v="0"/>
    <x v="25"/>
    <d v="2024-06-24T00:00:00"/>
    <n v="4"/>
    <x v="2"/>
    <x v="10"/>
    <n v="5522.03"/>
    <n v="0"/>
    <n v="0"/>
    <n v="5522.03"/>
    <x v="2"/>
    <m/>
  </r>
  <r>
    <s v="PAT-3027"/>
    <s v="Paul Taylor"/>
    <n v="58"/>
    <x v="0"/>
    <x v="0"/>
    <x v="26"/>
    <d v="2024-06-08T00:00:00"/>
    <n v="5"/>
    <x v="0"/>
    <x v="6"/>
    <n v="8789.32"/>
    <n v="0.9"/>
    <n v="7910.3879999999999"/>
    <n v="878.93199999999979"/>
    <x v="1"/>
    <m/>
  </r>
  <r>
    <s v="PAT-3028"/>
    <s v="Daniel Lopez"/>
    <n v="62"/>
    <x v="0"/>
    <x v="0"/>
    <x v="27"/>
    <d v="2025-01-30T00:00:00"/>
    <n v="5"/>
    <x v="5"/>
    <x v="17"/>
    <n v="7969.42"/>
    <n v="1"/>
    <n v="7969.42"/>
    <n v="0"/>
    <x v="0"/>
    <m/>
  </r>
  <r>
    <s v="PAT-3029"/>
    <s v="Joseph Brown"/>
    <n v="52"/>
    <x v="0"/>
    <x v="0"/>
    <x v="28"/>
    <d v="2025-04-12T00:00:00"/>
    <n v="6"/>
    <x v="4"/>
    <x v="18"/>
    <n v="7929.71"/>
    <n v="0.9"/>
    <n v="7136.7390000000005"/>
    <n v="792.97099999999955"/>
    <x v="0"/>
    <m/>
  </r>
  <r>
    <s v="PAT-3030"/>
    <s v="Linda Wilson"/>
    <n v="35"/>
    <x v="2"/>
    <x v="1"/>
    <x v="29"/>
    <d v="2024-10-04T00:00:00"/>
    <n v="3"/>
    <x v="1"/>
    <x v="3"/>
    <n v="4772.8900000000003"/>
    <n v="0.9"/>
    <n v="4295.6010000000006"/>
    <n v="477.28899999999976"/>
    <x v="0"/>
    <m/>
  </r>
  <r>
    <s v="PAT-3031"/>
    <s v="Emily Moore"/>
    <n v="79"/>
    <x v="1"/>
    <x v="1"/>
    <x v="30"/>
    <d v="2024-06-26T00:00:00"/>
    <n v="3"/>
    <x v="0"/>
    <x v="19"/>
    <n v="6826.49"/>
    <n v="0.8"/>
    <n v="5461.192"/>
    <n v="1365.2979999999998"/>
    <x v="0"/>
    <m/>
  </r>
  <r>
    <s v="PAT-3032"/>
    <s v="Sarah Wilson"/>
    <n v="69"/>
    <x v="1"/>
    <x v="1"/>
    <x v="31"/>
    <d v="2024-03-22T00:00:00"/>
    <n v="2"/>
    <x v="2"/>
    <x v="4"/>
    <n v="2177.7800000000002"/>
    <n v="0.9"/>
    <n v="1960.0020000000002"/>
    <n v="217.77800000000002"/>
    <x v="2"/>
    <m/>
  </r>
  <r>
    <s v="PAT-3033"/>
    <s v="Nancy Clark"/>
    <n v="21"/>
    <x v="2"/>
    <x v="1"/>
    <x v="32"/>
    <d v="2025-05-23T00:00:00"/>
    <n v="2"/>
    <x v="1"/>
    <x v="3"/>
    <n v="3527.3"/>
    <n v="0"/>
    <n v="0"/>
    <n v="3527.3"/>
    <x v="2"/>
    <m/>
  </r>
  <r>
    <s v="PAT-3034"/>
    <s v="Kevin Clark"/>
    <n v="49"/>
    <x v="0"/>
    <x v="0"/>
    <x v="33"/>
    <d v="2025-10-16T00:00:00"/>
    <n v="1"/>
    <x v="1"/>
    <x v="3"/>
    <n v="1184.01"/>
    <n v="1"/>
    <n v="1184.01"/>
    <n v="0"/>
    <x v="0"/>
    <m/>
  </r>
  <r>
    <s v="PAT-3035"/>
    <s v="Joseph Williams"/>
    <n v="61"/>
    <x v="0"/>
    <x v="0"/>
    <x v="34"/>
    <d v="2025-03-26T00:00:00"/>
    <n v="5"/>
    <x v="0"/>
    <x v="20"/>
    <n v="10760.65"/>
    <n v="1"/>
    <n v="10760.65"/>
    <n v="0"/>
    <x v="0"/>
    <m/>
  </r>
  <r>
    <s v="PAT-3036"/>
    <s v="Jennifer Jackson"/>
    <n v="32"/>
    <x v="2"/>
    <x v="1"/>
    <x v="35"/>
    <d v="2025-08-14T00:00:00"/>
    <n v="5"/>
    <x v="2"/>
    <x v="21"/>
    <n v="7422.15"/>
    <n v="0.6"/>
    <n v="4453.29"/>
    <n v="2968.8599999999997"/>
    <x v="1"/>
    <m/>
  </r>
  <r>
    <s v="PAT-3037"/>
    <s v="Elizabeth Rodriguez"/>
    <n v="7"/>
    <x v="3"/>
    <x v="1"/>
    <x v="36"/>
    <d v="2025-06-08T00:00:00"/>
    <n v="5"/>
    <x v="3"/>
    <x v="22"/>
    <n v="3623.14"/>
    <n v="0.5"/>
    <n v="1811.57"/>
    <n v="1811.57"/>
    <x v="0"/>
    <m/>
  </r>
  <r>
    <s v="PAT-3038"/>
    <s v="Mark Miller"/>
    <n v="7"/>
    <x v="3"/>
    <x v="0"/>
    <x v="37"/>
    <d v="2024-12-11T00:00:00"/>
    <n v="1"/>
    <x v="3"/>
    <x v="23"/>
    <n v="946.04"/>
    <n v="0.9"/>
    <n v="851.43600000000004"/>
    <n v="94.603999999999928"/>
    <x v="1"/>
    <m/>
  </r>
  <r>
    <s v="PAT-3039"/>
    <s v="Kenneth Martinez"/>
    <n v="4"/>
    <x v="3"/>
    <x v="0"/>
    <x v="20"/>
    <d v="2025-10-25T00:00:00"/>
    <n v="3"/>
    <x v="3"/>
    <x v="24"/>
    <n v="3976.01"/>
    <n v="0.6"/>
    <n v="2385.6060000000002"/>
    <n v="1590.404"/>
    <x v="2"/>
    <m/>
  </r>
  <r>
    <s v="PAT-3040"/>
    <s v="Karen Young"/>
    <n v="81"/>
    <x v="1"/>
    <x v="1"/>
    <x v="38"/>
    <d v="2024-12-26T00:00:00"/>
    <n v="9"/>
    <x v="0"/>
    <x v="0"/>
    <n v="26928.32"/>
    <n v="0.7"/>
    <n v="18849.823999999997"/>
    <n v="8078.4960000000028"/>
    <x v="2"/>
    <m/>
  </r>
  <r>
    <s v="PAT-3041"/>
    <s v="Dorothy Ramirez"/>
    <n v="81"/>
    <x v="1"/>
    <x v="1"/>
    <x v="39"/>
    <d v="2025-02-18T00:00:00"/>
    <n v="5"/>
    <x v="0"/>
    <x v="19"/>
    <n v="7203.24"/>
    <n v="0.7"/>
    <n v="5042.2679999999991"/>
    <n v="2160.9720000000007"/>
    <x v="0"/>
    <m/>
  </r>
  <r>
    <s v="PAT-3042"/>
    <s v="Donna Williams"/>
    <n v="14"/>
    <x v="5"/>
    <x v="1"/>
    <x v="40"/>
    <d v="2025-11-22T00:00:00"/>
    <n v="4"/>
    <x v="3"/>
    <x v="25"/>
    <n v="5685.06"/>
    <n v="0.8"/>
    <n v="4548.0480000000007"/>
    <n v="1137.0119999999997"/>
    <x v="0"/>
    <m/>
  </r>
  <r>
    <s v="PAT-3043"/>
    <s v="Nancy Harris"/>
    <n v="73"/>
    <x v="1"/>
    <x v="1"/>
    <x v="41"/>
    <d v="2025-09-08T00:00:00"/>
    <n v="3"/>
    <x v="4"/>
    <x v="26"/>
    <n v="4949.0600000000004"/>
    <n v="0.5"/>
    <n v="2474.5300000000002"/>
    <n v="2474.5300000000002"/>
    <x v="0"/>
    <m/>
  </r>
  <r>
    <s v="PAT-3044"/>
    <s v="William Wilson"/>
    <n v="50"/>
    <x v="0"/>
    <x v="0"/>
    <x v="42"/>
    <d v="2024-12-16T00:00:00"/>
    <n v="4"/>
    <x v="4"/>
    <x v="14"/>
    <n v="5586.28"/>
    <n v="0.9"/>
    <n v="5027.652"/>
    <n v="558.6279999999997"/>
    <x v="0"/>
    <m/>
  </r>
  <r>
    <s v="PAT-3045"/>
    <s v="Michelle Taylor"/>
    <n v="73"/>
    <x v="1"/>
    <x v="1"/>
    <x v="43"/>
    <d v="2024-07-18T00:00:00"/>
    <n v="1"/>
    <x v="2"/>
    <x v="10"/>
    <n v="766.8"/>
    <n v="0.6"/>
    <n v="460.08"/>
    <n v="306.71999999999997"/>
    <x v="1"/>
    <m/>
  </r>
  <r>
    <s v="PAT-3046"/>
    <s v="Elizabeth Rodriguez"/>
    <n v="60"/>
    <x v="0"/>
    <x v="1"/>
    <x v="44"/>
    <d v="2024-05-26T00:00:00"/>
    <n v="13"/>
    <x v="4"/>
    <x v="13"/>
    <n v="28480.18"/>
    <n v="0.7"/>
    <n v="19936.126"/>
    <n v="8544.0540000000001"/>
    <x v="0"/>
    <m/>
  </r>
  <r>
    <s v="PAT-3047"/>
    <s v="Elizabeth Harris"/>
    <n v="37"/>
    <x v="2"/>
    <x v="1"/>
    <x v="45"/>
    <d v="2025-01-08T00:00:00"/>
    <n v="2"/>
    <x v="2"/>
    <x v="21"/>
    <n v="1098.9100000000001"/>
    <n v="0.7"/>
    <n v="769.23699999999997"/>
    <n v="329.67300000000012"/>
    <x v="1"/>
    <m/>
  </r>
  <r>
    <s v="PAT-3048"/>
    <s v="David Wilson"/>
    <n v="54"/>
    <x v="0"/>
    <x v="0"/>
    <x v="46"/>
    <d v="2025-11-15T00:00:00"/>
    <n v="10"/>
    <x v="4"/>
    <x v="27"/>
    <n v="22377.119999999999"/>
    <n v="0.8"/>
    <n v="17901.696"/>
    <n v="4475.4239999999991"/>
    <x v="0"/>
    <m/>
  </r>
  <r>
    <s v="PAT-3049"/>
    <s v="Kevin Wilson"/>
    <n v="1"/>
    <x v="6"/>
    <x v="0"/>
    <x v="47"/>
    <d v="2024-09-14T00:00:00"/>
    <n v="4"/>
    <x v="3"/>
    <x v="23"/>
    <n v="3895.9"/>
    <n v="0"/>
    <n v="0"/>
    <n v="3895.9"/>
    <x v="1"/>
    <m/>
  </r>
  <r>
    <s v="PAT-3050"/>
    <s v="James Wilson"/>
    <n v="51"/>
    <x v="0"/>
    <x v="0"/>
    <x v="48"/>
    <d v="2025-09-29T00:00:00"/>
    <n v="9"/>
    <x v="4"/>
    <x v="27"/>
    <n v="10684"/>
    <n v="0.6"/>
    <n v="6410.4"/>
    <n v="4273.6000000000004"/>
    <x v="0"/>
    <m/>
  </r>
  <r>
    <s v="PAT-3051"/>
    <s v="Jennifer Perez"/>
    <n v="23"/>
    <x v="2"/>
    <x v="1"/>
    <x v="49"/>
    <d v="2024-07-10T00:00:00"/>
    <n v="4"/>
    <x v="2"/>
    <x v="5"/>
    <n v="3643.5"/>
    <n v="0.7"/>
    <n v="2550.4499999999998"/>
    <n v="1093.0500000000002"/>
    <x v="2"/>
    <m/>
  </r>
  <r>
    <s v="PAT-3052"/>
    <s v="Mary Johnson"/>
    <n v="67"/>
    <x v="1"/>
    <x v="1"/>
    <x v="50"/>
    <d v="2024-10-13T00:00:00"/>
    <n v="3"/>
    <x v="1"/>
    <x v="2"/>
    <n v="5702.96"/>
    <n v="0.8"/>
    <n v="4562.3680000000004"/>
    <n v="1140.5919999999996"/>
    <x v="0"/>
    <m/>
  </r>
  <r>
    <s v="PAT-3053"/>
    <s v="Joseph Thomas"/>
    <n v="63"/>
    <x v="0"/>
    <x v="0"/>
    <x v="41"/>
    <d v="2025-09-12T00:00:00"/>
    <n v="7"/>
    <x v="0"/>
    <x v="1"/>
    <n v="18049.650000000001"/>
    <n v="0.8"/>
    <n v="14439.720000000001"/>
    <n v="3609.9300000000003"/>
    <x v="0"/>
    <m/>
  </r>
  <r>
    <s v="PAT-3054"/>
    <s v="Anthony Thomas"/>
    <n v="59"/>
    <x v="0"/>
    <x v="0"/>
    <x v="51"/>
    <d v="2025-04-10T00:00:00"/>
    <n v="6"/>
    <x v="0"/>
    <x v="0"/>
    <n v="16488.400000000001"/>
    <n v="0.8"/>
    <n v="13190.720000000001"/>
    <n v="3297.6800000000003"/>
    <x v="0"/>
    <m/>
  </r>
  <r>
    <s v="PAT-3055"/>
    <s v="Donna Clark"/>
    <n v="64"/>
    <x v="0"/>
    <x v="1"/>
    <x v="52"/>
    <d v="2025-01-13T00:00:00"/>
    <n v="8"/>
    <x v="5"/>
    <x v="28"/>
    <n v="18217.14"/>
    <n v="0.5"/>
    <n v="9108.57"/>
    <n v="9108.57"/>
    <x v="2"/>
    <m/>
  </r>
  <r>
    <s v="PAT-3056"/>
    <s v="Andrew Jones"/>
    <n v="60"/>
    <x v="0"/>
    <x v="0"/>
    <x v="53"/>
    <d v="2024-11-23T00:00:00"/>
    <n v="11"/>
    <x v="4"/>
    <x v="13"/>
    <n v="16175.09"/>
    <n v="0.8"/>
    <n v="12940.072"/>
    <n v="3235.018"/>
    <x v="1"/>
    <m/>
  </r>
  <r>
    <s v="PAT-3057"/>
    <s v="Jennifer Martinez"/>
    <n v="77"/>
    <x v="1"/>
    <x v="1"/>
    <x v="54"/>
    <d v="2024-03-29T00:00:00"/>
    <n v="8"/>
    <x v="0"/>
    <x v="0"/>
    <n v="12858.55"/>
    <n v="0.8"/>
    <n v="10286.84"/>
    <n v="2571.7099999999991"/>
    <x v="1"/>
    <m/>
  </r>
  <r>
    <s v="PAT-3058"/>
    <s v="Mark Lewis"/>
    <n v="29"/>
    <x v="2"/>
    <x v="0"/>
    <x v="55"/>
    <d v="2025-05-19T00:00:00"/>
    <n v="14"/>
    <x v="4"/>
    <x v="13"/>
    <n v="14617.11"/>
    <n v="0"/>
    <n v="0"/>
    <n v="14617.11"/>
    <x v="2"/>
    <m/>
  </r>
  <r>
    <s v="PAT-3059"/>
    <s v="Mark Miller"/>
    <n v="77"/>
    <x v="1"/>
    <x v="0"/>
    <x v="6"/>
    <d v="2024-02-16T00:00:00"/>
    <n v="7"/>
    <x v="0"/>
    <x v="29"/>
    <n v="8848.16"/>
    <n v="0.9"/>
    <n v="7963.3440000000001"/>
    <n v="884.8159999999998"/>
    <x v="0"/>
    <m/>
  </r>
  <r>
    <s v="PAT-3060"/>
    <s v="Steven Garcia"/>
    <n v="38"/>
    <x v="2"/>
    <x v="0"/>
    <x v="56"/>
    <d v="2024-05-25T00:00:00"/>
    <n v="2"/>
    <x v="1"/>
    <x v="15"/>
    <n v="4529.29"/>
    <n v="0.6"/>
    <n v="2717.5740000000001"/>
    <n v="1811.7159999999999"/>
    <x v="2"/>
    <m/>
  </r>
  <r>
    <s v="PAT-3061"/>
    <s v="Jessica Thomas"/>
    <n v="43"/>
    <x v="2"/>
    <x v="1"/>
    <x v="53"/>
    <d v="2024-11-14T00:00:00"/>
    <n v="2"/>
    <x v="2"/>
    <x v="10"/>
    <n v="1655.08"/>
    <n v="0.8"/>
    <n v="1324.0640000000001"/>
    <n v="331.01599999999985"/>
    <x v="0"/>
    <m/>
  </r>
  <r>
    <s v="PAT-3062"/>
    <s v="Joshua Lee"/>
    <n v="16"/>
    <x v="5"/>
    <x v="0"/>
    <x v="57"/>
    <d v="2025-04-30T00:00:00"/>
    <n v="1"/>
    <x v="3"/>
    <x v="23"/>
    <n v="1165.3699999999999"/>
    <n v="0.8"/>
    <n v="932.29599999999994"/>
    <n v="233.07399999999996"/>
    <x v="1"/>
    <m/>
  </r>
  <r>
    <s v="PAT-3063"/>
    <s v="Linda Lopez"/>
    <n v="47"/>
    <x v="0"/>
    <x v="1"/>
    <x v="58"/>
    <d v="2025-04-28T00:00:00"/>
    <n v="4"/>
    <x v="0"/>
    <x v="29"/>
    <n v="5020.34"/>
    <n v="0.8"/>
    <n v="4016.2720000000004"/>
    <n v="1004.0679999999998"/>
    <x v="0"/>
    <m/>
  </r>
  <r>
    <s v="PAT-3064"/>
    <s v="Jennifer Jackson"/>
    <n v="5"/>
    <x v="3"/>
    <x v="1"/>
    <x v="59"/>
    <d v="2024-04-26T00:00:00"/>
    <n v="3"/>
    <x v="3"/>
    <x v="24"/>
    <n v="4344.45"/>
    <n v="1"/>
    <n v="4344.45"/>
    <n v="0"/>
    <x v="0"/>
    <m/>
  </r>
  <r>
    <s v="PAT-3065"/>
    <s v="Betty Garcia"/>
    <n v="40"/>
    <x v="2"/>
    <x v="1"/>
    <x v="60"/>
    <d v="2025-10-21T00:00:00"/>
    <n v="9"/>
    <x v="0"/>
    <x v="29"/>
    <n v="11900.88"/>
    <n v="0.8"/>
    <n v="9520.7039999999997"/>
    <n v="2380.1759999999995"/>
    <x v="1"/>
    <m/>
  </r>
  <r>
    <s v="PAT-3066"/>
    <s v="Kenneth Wilson"/>
    <n v="67"/>
    <x v="1"/>
    <x v="0"/>
    <x v="61"/>
    <d v="2025-02-02T00:00:00"/>
    <n v="9"/>
    <x v="5"/>
    <x v="17"/>
    <n v="12380.25"/>
    <n v="0.8"/>
    <n v="9904.2000000000007"/>
    <n v="2476.0499999999993"/>
    <x v="0"/>
    <m/>
  </r>
  <r>
    <s v="PAT-3067"/>
    <s v="Daniel Anderson"/>
    <n v="63"/>
    <x v="0"/>
    <x v="0"/>
    <x v="62"/>
    <d v="2025-11-29T00:00:00"/>
    <n v="4"/>
    <x v="0"/>
    <x v="20"/>
    <n v="9509.74"/>
    <n v="0.9"/>
    <n v="8558.7659999999996"/>
    <n v="950.97400000000016"/>
    <x v="0"/>
    <m/>
  </r>
  <r>
    <s v="PAT-3068"/>
    <s v="Jessica Young"/>
    <n v="60"/>
    <x v="0"/>
    <x v="1"/>
    <x v="63"/>
    <d v="2025-03-19T00:00:00"/>
    <n v="4"/>
    <x v="5"/>
    <x v="28"/>
    <n v="6803.88"/>
    <n v="0.8"/>
    <n v="5443.1040000000003"/>
    <n v="1360.7759999999998"/>
    <x v="0"/>
    <m/>
  </r>
  <r>
    <s v="PAT-3069"/>
    <s v="Michelle Lee"/>
    <n v="67"/>
    <x v="1"/>
    <x v="1"/>
    <x v="64"/>
    <d v="2024-06-04T00:00:00"/>
    <n v="11"/>
    <x v="4"/>
    <x v="13"/>
    <n v="23530.58"/>
    <n v="0.8"/>
    <n v="18824.464000000004"/>
    <n v="4706.1159999999982"/>
    <x v="2"/>
    <m/>
  </r>
  <r>
    <s v="PAT-3070"/>
    <s v="Joseph Johnson"/>
    <n v="83"/>
    <x v="1"/>
    <x v="0"/>
    <x v="65"/>
    <d v="2025-04-06T00:00:00"/>
    <n v="1"/>
    <x v="1"/>
    <x v="7"/>
    <n v="1108.28"/>
    <n v="0.5"/>
    <n v="554.14"/>
    <n v="554.14"/>
    <x v="0"/>
    <m/>
  </r>
  <r>
    <s v="PAT-3071"/>
    <s v="Paul White"/>
    <n v="69"/>
    <x v="1"/>
    <x v="0"/>
    <x v="66"/>
    <d v="2025-12-29T00:00:00"/>
    <n v="7"/>
    <x v="0"/>
    <x v="6"/>
    <n v="15858.97"/>
    <n v="0.8"/>
    <n v="12687.175999999999"/>
    <n v="3171.7939999999999"/>
    <x v="0"/>
    <m/>
  </r>
  <r>
    <s v="PAT-3072"/>
    <s v="Andrew Young"/>
    <n v="66"/>
    <x v="1"/>
    <x v="0"/>
    <x v="67"/>
    <d v="2025-02-02T00:00:00"/>
    <n v="14"/>
    <x v="4"/>
    <x v="18"/>
    <n v="24022.14"/>
    <n v="0.8"/>
    <n v="19217.712"/>
    <n v="4804.4279999999999"/>
    <x v="2"/>
    <m/>
  </r>
  <r>
    <s v="PAT-3073"/>
    <s v="Michelle Wilson"/>
    <n v="29"/>
    <x v="2"/>
    <x v="1"/>
    <x v="68"/>
    <d v="2024-11-02T00:00:00"/>
    <n v="12"/>
    <x v="4"/>
    <x v="18"/>
    <n v="13601.98"/>
    <n v="0.8"/>
    <n v="10881.584000000001"/>
    <n v="2720.3959999999988"/>
    <x v="1"/>
    <m/>
  </r>
  <r>
    <s v="PAT-3074"/>
    <s v="Kenneth White"/>
    <n v="48"/>
    <x v="0"/>
    <x v="0"/>
    <x v="59"/>
    <d v="2024-05-02T00:00:00"/>
    <n v="9"/>
    <x v="5"/>
    <x v="30"/>
    <n v="11054.91"/>
    <n v="0.8"/>
    <n v="8843.9279999999999"/>
    <n v="2210.982"/>
    <x v="0"/>
    <m/>
  </r>
  <r>
    <s v="PAT-3075"/>
    <s v="Matthew Clark"/>
    <n v="71"/>
    <x v="1"/>
    <x v="0"/>
    <x v="62"/>
    <d v="2025-11-28T00:00:00"/>
    <n v="3"/>
    <x v="1"/>
    <x v="2"/>
    <n v="4292.29"/>
    <n v="0.7"/>
    <n v="3004.6029999999996"/>
    <n v="1287.6870000000004"/>
    <x v="0"/>
    <m/>
  </r>
  <r>
    <s v="PAT-3076"/>
    <s v="Elizabeth Lewis"/>
    <n v="58"/>
    <x v="0"/>
    <x v="1"/>
    <x v="69"/>
    <d v="2025-11-17T00:00:00"/>
    <n v="9"/>
    <x v="0"/>
    <x v="29"/>
    <n v="15148.04"/>
    <n v="1"/>
    <n v="15148.04"/>
    <n v="0"/>
    <x v="0"/>
    <m/>
  </r>
  <r>
    <s v="PAT-3077"/>
    <s v="Mary Thomas"/>
    <n v="31"/>
    <x v="2"/>
    <x v="1"/>
    <x v="70"/>
    <d v="2025-04-08T00:00:00"/>
    <n v="7"/>
    <x v="5"/>
    <x v="28"/>
    <n v="12486.34"/>
    <n v="0.6"/>
    <n v="7491.8040000000001"/>
    <n v="4994.5360000000001"/>
    <x v="1"/>
    <m/>
  </r>
  <r>
    <s v="PAT-3078"/>
    <s v="Elizabeth Rodriguez"/>
    <n v="6"/>
    <x v="3"/>
    <x v="1"/>
    <x v="62"/>
    <d v="2025-11-30T00:00:00"/>
    <n v="5"/>
    <x v="3"/>
    <x v="24"/>
    <n v="6755.47"/>
    <n v="0.9"/>
    <n v="6079.9230000000007"/>
    <n v="675.54699999999957"/>
    <x v="0"/>
    <m/>
  </r>
  <r>
    <s v="PAT-3079"/>
    <s v="Michelle Perez"/>
    <n v="54"/>
    <x v="0"/>
    <x v="1"/>
    <x v="71"/>
    <d v="2025-09-05T00:00:00"/>
    <n v="2"/>
    <x v="1"/>
    <x v="31"/>
    <n v="2919.13"/>
    <n v="1"/>
    <n v="2919.13"/>
    <n v="0"/>
    <x v="0"/>
    <m/>
  </r>
  <r>
    <s v="PAT-3080"/>
    <s v="Betty Walker"/>
    <n v="40"/>
    <x v="2"/>
    <x v="1"/>
    <x v="72"/>
    <d v="2025-07-19T00:00:00"/>
    <n v="14"/>
    <x v="4"/>
    <x v="13"/>
    <n v="30241.53"/>
    <n v="1"/>
    <n v="30241.53"/>
    <n v="0"/>
    <x v="0"/>
    <m/>
  </r>
  <r>
    <s v="PAT-3081"/>
    <s v="Sarah Jackson"/>
    <n v="70"/>
    <x v="1"/>
    <x v="1"/>
    <x v="73"/>
    <d v="2024-07-17T00:00:00"/>
    <n v="7"/>
    <x v="0"/>
    <x v="20"/>
    <n v="12489.15"/>
    <n v="0"/>
    <n v="0"/>
    <n v="12489.15"/>
    <x v="1"/>
    <m/>
  </r>
  <r>
    <s v="PAT-3082"/>
    <s v="Jessica Thompson"/>
    <n v="34"/>
    <x v="2"/>
    <x v="1"/>
    <x v="74"/>
    <d v="2024-02-07T00:00:00"/>
    <n v="6"/>
    <x v="4"/>
    <x v="26"/>
    <n v="12813.71"/>
    <n v="0.7"/>
    <n v="8969.5969999999979"/>
    <n v="3844.1130000000012"/>
    <x v="0"/>
    <m/>
  </r>
  <r>
    <s v="PAT-3083"/>
    <s v="Elizabeth Perez"/>
    <n v="62"/>
    <x v="0"/>
    <x v="1"/>
    <x v="75"/>
    <d v="2024-05-01T00:00:00"/>
    <n v="5"/>
    <x v="4"/>
    <x v="26"/>
    <n v="13205.04"/>
    <n v="0.7"/>
    <n v="9243.5280000000002"/>
    <n v="3961.5120000000006"/>
    <x v="0"/>
    <m/>
  </r>
  <r>
    <s v="PAT-3084"/>
    <s v="Paul Harris"/>
    <n v="83"/>
    <x v="1"/>
    <x v="0"/>
    <x v="66"/>
    <d v="2025-12-29T00:00:00"/>
    <n v="7"/>
    <x v="2"/>
    <x v="4"/>
    <n v="3620.28"/>
    <n v="0.8"/>
    <n v="2896.2240000000002"/>
    <n v="724.05600000000004"/>
    <x v="0"/>
    <m/>
  </r>
  <r>
    <s v="PAT-3085"/>
    <s v="Jessica White"/>
    <n v="76"/>
    <x v="1"/>
    <x v="1"/>
    <x v="13"/>
    <d v="2024-08-27T00:00:00"/>
    <n v="7"/>
    <x v="2"/>
    <x v="8"/>
    <n v="7803.54"/>
    <n v="0.7"/>
    <n v="5462.4780000000001"/>
    <n v="2341.0619999999999"/>
    <x v="1"/>
    <m/>
  </r>
  <r>
    <s v="PAT-3086"/>
    <s v="Betty Moore"/>
    <n v="50"/>
    <x v="0"/>
    <x v="1"/>
    <x v="76"/>
    <d v="2025-01-10T00:00:00"/>
    <n v="8"/>
    <x v="5"/>
    <x v="12"/>
    <n v="12412.35"/>
    <n v="0.9"/>
    <n v="11171.115"/>
    <n v="1241.2350000000006"/>
    <x v="2"/>
    <m/>
  </r>
  <r>
    <s v="PAT-3087"/>
    <s v="Ashley Smith"/>
    <n v="39"/>
    <x v="2"/>
    <x v="1"/>
    <x v="77"/>
    <d v="2025-11-30T00:00:00"/>
    <n v="2"/>
    <x v="1"/>
    <x v="32"/>
    <n v="2598.06"/>
    <n v="0.8"/>
    <n v="2078.4479999999999"/>
    <n v="519.61200000000008"/>
    <x v="0"/>
    <m/>
  </r>
  <r>
    <s v="PAT-3088"/>
    <s v="Mark Moore"/>
    <n v="68"/>
    <x v="1"/>
    <x v="0"/>
    <x v="78"/>
    <d v="2025-03-11T00:00:00"/>
    <n v="7"/>
    <x v="2"/>
    <x v="21"/>
    <n v="9165.89"/>
    <n v="0.7"/>
    <n v="6416.1229999999996"/>
    <n v="2749.7669999999998"/>
    <x v="0"/>
    <m/>
  </r>
  <r>
    <s v="PAT-3089"/>
    <s v="Carol Hernandez"/>
    <n v="55"/>
    <x v="0"/>
    <x v="1"/>
    <x v="9"/>
    <d v="2025-08-07T00:00:00"/>
    <n v="2"/>
    <x v="1"/>
    <x v="2"/>
    <n v="2783.91"/>
    <n v="0.7"/>
    <n v="1948.7369999999999"/>
    <n v="835.173"/>
    <x v="0"/>
    <m/>
  </r>
  <r>
    <s v="PAT-3090"/>
    <s v="Barbara Taylor"/>
    <n v="71"/>
    <x v="1"/>
    <x v="1"/>
    <x v="79"/>
    <d v="2025-01-31T00:00:00"/>
    <n v="9"/>
    <x v="0"/>
    <x v="1"/>
    <n v="23939.75"/>
    <n v="0.6"/>
    <n v="14363.85"/>
    <n v="9575.9"/>
    <x v="0"/>
    <m/>
  </r>
  <r>
    <s v="PAT-3091"/>
    <s v="Lisa Brown"/>
    <n v="55"/>
    <x v="0"/>
    <x v="1"/>
    <x v="80"/>
    <d v="2025-05-09T00:00:00"/>
    <n v="8"/>
    <x v="5"/>
    <x v="28"/>
    <n v="19244.54"/>
    <n v="0.8"/>
    <n v="15395.632000000001"/>
    <n v="3848.9079999999994"/>
    <x v="0"/>
    <m/>
  </r>
  <r>
    <s v="PAT-3092"/>
    <s v="Barbara Walker"/>
    <n v="60"/>
    <x v="0"/>
    <x v="1"/>
    <x v="43"/>
    <d v="2024-07-26T00:00:00"/>
    <n v="9"/>
    <x v="0"/>
    <x v="0"/>
    <n v="17194.91"/>
    <n v="0.9"/>
    <n v="15475.419"/>
    <n v="1719.491"/>
    <x v="0"/>
    <m/>
  </r>
  <r>
    <s v="PAT-3093"/>
    <s v="Thomas Hernandez"/>
    <n v="62"/>
    <x v="0"/>
    <x v="0"/>
    <x v="81"/>
    <d v="2024-08-29T00:00:00"/>
    <n v="3"/>
    <x v="2"/>
    <x v="33"/>
    <n v="3707.77"/>
    <n v="0.8"/>
    <n v="2966.2160000000003"/>
    <n v="741.55399999999963"/>
    <x v="0"/>
    <m/>
  </r>
  <r>
    <s v="PAT-3094"/>
    <s v="Sarah Young"/>
    <n v="62"/>
    <x v="0"/>
    <x v="1"/>
    <x v="82"/>
    <d v="2025-09-01T00:00:00"/>
    <n v="6"/>
    <x v="5"/>
    <x v="34"/>
    <n v="11445.42"/>
    <n v="0.8"/>
    <n v="9156.3360000000011"/>
    <n v="2289.0839999999989"/>
    <x v="1"/>
    <m/>
  </r>
  <r>
    <s v="PAT-3095"/>
    <s v="David Anderson"/>
    <n v="52"/>
    <x v="0"/>
    <x v="0"/>
    <x v="83"/>
    <d v="2025-04-30T00:00:00"/>
    <n v="2"/>
    <x v="2"/>
    <x v="4"/>
    <n v="1587.61"/>
    <n v="0.9"/>
    <n v="1428.8489999999999"/>
    <n v="158.76099999999997"/>
    <x v="1"/>
    <m/>
  </r>
  <r>
    <s v="PAT-3096"/>
    <s v="Mark Thompson"/>
    <n v="32"/>
    <x v="2"/>
    <x v="0"/>
    <x v="84"/>
    <d v="2024-10-26T00:00:00"/>
    <n v="2"/>
    <x v="1"/>
    <x v="15"/>
    <n v="4946.29"/>
    <n v="0.8"/>
    <n v="3957.0320000000002"/>
    <n v="989.25799999999981"/>
    <x v="0"/>
    <m/>
  </r>
  <r>
    <s v="PAT-3097"/>
    <s v="Daniel Garcia"/>
    <n v="15"/>
    <x v="5"/>
    <x v="0"/>
    <x v="85"/>
    <d v="2024-11-01T00:00:00"/>
    <n v="3"/>
    <x v="3"/>
    <x v="24"/>
    <n v="3757.58"/>
    <n v="0.8"/>
    <n v="3006.0640000000003"/>
    <n v="751.51599999999962"/>
    <x v="0"/>
    <m/>
  </r>
  <r>
    <s v="PAT-3098"/>
    <s v="Michael Ramirez"/>
    <n v="61"/>
    <x v="0"/>
    <x v="0"/>
    <x v="86"/>
    <d v="2025-04-23T00:00:00"/>
    <n v="5"/>
    <x v="0"/>
    <x v="20"/>
    <n v="10173.43"/>
    <n v="0.7"/>
    <n v="7121.4009999999998"/>
    <n v="3052.0290000000005"/>
    <x v="2"/>
    <m/>
  </r>
  <r>
    <s v="PAT-3099"/>
    <s v="Linda Robinson"/>
    <n v="1"/>
    <x v="6"/>
    <x v="1"/>
    <x v="87"/>
    <d v="2024-12-25T00:00:00"/>
    <n v="5"/>
    <x v="3"/>
    <x v="24"/>
    <n v="4626.03"/>
    <n v="0.5"/>
    <n v="2313.0149999999999"/>
    <n v="2313.0149999999999"/>
    <x v="1"/>
    <m/>
  </r>
  <r>
    <s v="PAT-3100"/>
    <s v="Jennifer Martinez"/>
    <n v="28"/>
    <x v="2"/>
    <x v="1"/>
    <x v="88"/>
    <d v="2024-11-19T00:00:00"/>
    <n v="3"/>
    <x v="2"/>
    <x v="16"/>
    <n v="3159.6"/>
    <n v="0.8"/>
    <n v="2527.6800000000003"/>
    <n v="631.91999999999962"/>
    <x v="0"/>
    <m/>
  </r>
  <r>
    <s v="PAT-3101"/>
    <s v="Matthew Williams"/>
    <n v="78"/>
    <x v="1"/>
    <x v="0"/>
    <x v="89"/>
    <d v="2024-02-07T00:00:00"/>
    <n v="3"/>
    <x v="1"/>
    <x v="7"/>
    <n v="6630.7"/>
    <n v="0.9"/>
    <n v="5967.63"/>
    <n v="663.06999999999971"/>
    <x v="0"/>
    <m/>
  </r>
  <r>
    <s v="PAT-3102"/>
    <s v="Paul Robinson"/>
    <n v="51"/>
    <x v="0"/>
    <x v="0"/>
    <x v="90"/>
    <d v="2024-04-19T00:00:00"/>
    <n v="9"/>
    <x v="5"/>
    <x v="12"/>
    <n v="17220.650000000001"/>
    <n v="0.7"/>
    <n v="12054.455"/>
    <n v="5166.1950000000015"/>
    <x v="2"/>
    <m/>
  </r>
  <r>
    <s v="PAT-3103"/>
    <s v="David Walker"/>
    <n v="70"/>
    <x v="1"/>
    <x v="0"/>
    <x v="91"/>
    <d v="2024-03-01T00:00:00"/>
    <n v="5"/>
    <x v="4"/>
    <x v="18"/>
    <n v="13557.6"/>
    <n v="0.9"/>
    <n v="12201.84"/>
    <n v="1355.7600000000002"/>
    <x v="0"/>
    <m/>
  </r>
  <r>
    <s v="PAT-3104"/>
    <s v="Daniel White"/>
    <n v="51"/>
    <x v="0"/>
    <x v="0"/>
    <x v="92"/>
    <d v="2025-04-13T00:00:00"/>
    <n v="2"/>
    <x v="2"/>
    <x v="33"/>
    <n v="1460.86"/>
    <n v="0.7"/>
    <n v="1022.6019999999999"/>
    <n v="438.25800000000004"/>
    <x v="2"/>
    <m/>
  </r>
  <r>
    <s v="PAT-3105"/>
    <s v="Daniel Walker"/>
    <n v="57"/>
    <x v="0"/>
    <x v="0"/>
    <x v="93"/>
    <d v="2025-01-15T00:00:00"/>
    <n v="3"/>
    <x v="5"/>
    <x v="34"/>
    <n v="5152.58"/>
    <n v="0"/>
    <n v="0"/>
    <n v="5152.58"/>
    <x v="0"/>
    <m/>
  </r>
  <r>
    <s v="PAT-3106"/>
    <s v="Lisa Anderson"/>
    <n v="37"/>
    <x v="2"/>
    <x v="1"/>
    <x v="94"/>
    <d v="2025-07-28T00:00:00"/>
    <n v="1"/>
    <x v="1"/>
    <x v="3"/>
    <n v="954.61"/>
    <n v="0.9"/>
    <n v="859.149"/>
    <n v="95.461000000000013"/>
    <x v="0"/>
    <m/>
  </r>
  <r>
    <s v="PAT-3107"/>
    <s v="Steven Clark"/>
    <n v="59"/>
    <x v="0"/>
    <x v="0"/>
    <x v="95"/>
    <d v="2025-02-21T00:00:00"/>
    <n v="6"/>
    <x v="0"/>
    <x v="20"/>
    <n v="11951.45"/>
    <n v="1"/>
    <n v="11951.45"/>
    <n v="0"/>
    <x v="0"/>
    <m/>
  </r>
  <r>
    <s v="PAT-3108"/>
    <s v="Daniel Anderson"/>
    <n v="2"/>
    <x v="6"/>
    <x v="0"/>
    <x v="96"/>
    <d v="2024-04-11T00:00:00"/>
    <n v="2"/>
    <x v="3"/>
    <x v="24"/>
    <n v="3169.16"/>
    <n v="0.6"/>
    <n v="1901.4959999999999"/>
    <n v="1267.664"/>
    <x v="1"/>
    <m/>
  </r>
  <r>
    <s v="PAT-3109"/>
    <s v="William Brown"/>
    <n v="55"/>
    <x v="0"/>
    <x v="0"/>
    <x v="97"/>
    <d v="2025-05-08T00:00:00"/>
    <n v="1"/>
    <x v="2"/>
    <x v="16"/>
    <n v="1178.75"/>
    <n v="0.7"/>
    <n v="825.125"/>
    <n v="353.625"/>
    <x v="0"/>
    <m/>
  </r>
  <r>
    <s v="PAT-3110"/>
    <s v="Christopher Davis"/>
    <n v="69"/>
    <x v="1"/>
    <x v="0"/>
    <x v="98"/>
    <d v="2024-04-23T00:00:00"/>
    <n v="3"/>
    <x v="1"/>
    <x v="2"/>
    <n v="4895.09"/>
    <n v="0.5"/>
    <n v="2447.5450000000001"/>
    <n v="2447.5450000000001"/>
    <x v="2"/>
    <m/>
  </r>
  <r>
    <s v="PAT-3111"/>
    <s v="Joseph Williams"/>
    <n v="2"/>
    <x v="6"/>
    <x v="0"/>
    <x v="99"/>
    <d v="2024-10-16T00:00:00"/>
    <n v="1"/>
    <x v="3"/>
    <x v="22"/>
    <n v="819.61"/>
    <n v="0.8"/>
    <n v="655.6880000000001"/>
    <n v="163.92199999999991"/>
    <x v="0"/>
    <m/>
  </r>
  <r>
    <s v="PAT-3112"/>
    <s v="Sandra Jackson"/>
    <n v="40"/>
    <x v="2"/>
    <x v="1"/>
    <x v="100"/>
    <d v="2024-12-06T00:00:00"/>
    <n v="2"/>
    <x v="1"/>
    <x v="2"/>
    <n v="2899.4"/>
    <n v="0.7"/>
    <n v="2029.58"/>
    <n v="869.82000000000016"/>
    <x v="1"/>
    <m/>
  </r>
  <r>
    <s v="PAT-3113"/>
    <s v="Sandra Moore"/>
    <n v="4"/>
    <x v="3"/>
    <x v="1"/>
    <x v="101"/>
    <d v="2024-01-07T00:00:00"/>
    <n v="2"/>
    <x v="3"/>
    <x v="24"/>
    <n v="2638.05"/>
    <n v="0.9"/>
    <n v="2374.2450000000003"/>
    <n v="263.80499999999984"/>
    <x v="1"/>
    <m/>
  </r>
  <r>
    <s v="PAT-3114"/>
    <s v="Karen Anderson"/>
    <n v="19"/>
    <x v="2"/>
    <x v="1"/>
    <x v="102"/>
    <d v="2024-05-11T00:00:00"/>
    <n v="3"/>
    <x v="1"/>
    <x v="3"/>
    <n v="6176.26"/>
    <n v="0.7"/>
    <n v="4323.3819999999996"/>
    <n v="1852.8780000000006"/>
    <x v="1"/>
    <m/>
  </r>
  <r>
    <s v="PAT-3115"/>
    <s v="Paul Lopez"/>
    <n v="29"/>
    <x v="2"/>
    <x v="0"/>
    <x v="103"/>
    <d v="2025-09-15T00:00:00"/>
    <n v="3"/>
    <x v="4"/>
    <x v="27"/>
    <n v="4035.23"/>
    <n v="0.8"/>
    <n v="3228.1840000000002"/>
    <n v="807.04599999999982"/>
    <x v="0"/>
    <m/>
  </r>
  <r>
    <s v="PAT-3116"/>
    <s v="Lisa Johnson"/>
    <n v="36"/>
    <x v="2"/>
    <x v="1"/>
    <x v="104"/>
    <d v="2024-03-28T00:00:00"/>
    <n v="2"/>
    <x v="2"/>
    <x v="16"/>
    <n v="1068.76"/>
    <n v="0.8"/>
    <n v="855.00800000000004"/>
    <n v="213.75199999999995"/>
    <x v="0"/>
    <m/>
  </r>
  <r>
    <s v="PAT-3117"/>
    <s v="Kenneth Garcia"/>
    <n v="45"/>
    <x v="0"/>
    <x v="0"/>
    <x v="105"/>
    <d v="2024-06-20T00:00:00"/>
    <n v="3"/>
    <x v="1"/>
    <x v="32"/>
    <n v="2606.79"/>
    <n v="0.7"/>
    <n v="1824.7529999999999"/>
    <n v="782.03700000000003"/>
    <x v="1"/>
    <m/>
  </r>
  <r>
    <s v="PAT-3118"/>
    <s v="Emily Williams"/>
    <n v="2"/>
    <x v="6"/>
    <x v="1"/>
    <x v="106"/>
    <d v="2025-06-15T00:00:00"/>
    <n v="2"/>
    <x v="3"/>
    <x v="9"/>
    <n v="2856.34"/>
    <n v="1"/>
    <n v="2856.34"/>
    <n v="0"/>
    <x v="1"/>
    <m/>
  </r>
  <r>
    <s v="PAT-3119"/>
    <s v="Sandra Young"/>
    <n v="48"/>
    <x v="0"/>
    <x v="1"/>
    <x v="107"/>
    <d v="2024-07-13T00:00:00"/>
    <n v="8"/>
    <x v="4"/>
    <x v="18"/>
    <n v="13136.54"/>
    <n v="1"/>
    <n v="13136.54"/>
    <n v="0"/>
    <x v="1"/>
    <m/>
  </r>
  <r>
    <s v="PAT-3120"/>
    <s v="Robert Moore"/>
    <n v="32"/>
    <x v="2"/>
    <x v="0"/>
    <x v="108"/>
    <d v="2025-09-15T00:00:00"/>
    <n v="6"/>
    <x v="4"/>
    <x v="14"/>
    <n v="10441.879999999999"/>
    <n v="0.7"/>
    <n v="7309.3159999999989"/>
    <n v="3132.5640000000003"/>
    <x v="1"/>
    <m/>
  </r>
  <r>
    <s v="PAT-3121"/>
    <s v="Kenneth Perez"/>
    <n v="39"/>
    <x v="2"/>
    <x v="0"/>
    <x v="109"/>
    <d v="2024-09-01T00:00:00"/>
    <n v="7"/>
    <x v="2"/>
    <x v="4"/>
    <n v="8804.17"/>
    <n v="0.7"/>
    <n v="6162.9189999999999"/>
    <n v="2641.2510000000002"/>
    <x v="1"/>
    <m/>
  </r>
  <r>
    <s v="PAT-3122"/>
    <s v="Kevin Lewis"/>
    <n v="14"/>
    <x v="5"/>
    <x v="0"/>
    <x v="110"/>
    <d v="2024-05-26T00:00:00"/>
    <n v="5"/>
    <x v="3"/>
    <x v="25"/>
    <n v="8692.2099999999991"/>
    <n v="0.8"/>
    <n v="6953.768"/>
    <n v="1738.4419999999991"/>
    <x v="1"/>
    <m/>
  </r>
  <r>
    <s v="PAT-3123"/>
    <s v="Christopher Lewis"/>
    <n v="77"/>
    <x v="1"/>
    <x v="0"/>
    <x v="111"/>
    <d v="2024-11-10T00:00:00"/>
    <n v="5"/>
    <x v="0"/>
    <x v="0"/>
    <n v="8942.35"/>
    <n v="0"/>
    <n v="0"/>
    <n v="8942.35"/>
    <x v="0"/>
    <m/>
  </r>
  <r>
    <s v="PAT-3124"/>
    <s v="Kenneth Williams"/>
    <n v="59"/>
    <x v="0"/>
    <x v="0"/>
    <x v="112"/>
    <d v="2025-05-19T00:00:00"/>
    <n v="10"/>
    <x v="5"/>
    <x v="35"/>
    <n v="17584.490000000002"/>
    <n v="1"/>
    <n v="17584.490000000002"/>
    <n v="0"/>
    <x v="2"/>
    <m/>
  </r>
  <r>
    <s v="PAT-3125"/>
    <s v="Betty Walker"/>
    <n v="84"/>
    <x v="1"/>
    <x v="1"/>
    <x v="113"/>
    <d v="2024-04-18T00:00:00"/>
    <n v="1"/>
    <x v="1"/>
    <x v="31"/>
    <n v="1921.25"/>
    <n v="0.5"/>
    <n v="960.625"/>
    <n v="960.625"/>
    <x v="2"/>
    <m/>
  </r>
  <r>
    <s v="PAT-3126"/>
    <s v="Linda Walker"/>
    <n v="41"/>
    <x v="2"/>
    <x v="1"/>
    <x v="114"/>
    <d v="2024-08-14T00:00:00"/>
    <n v="3"/>
    <x v="5"/>
    <x v="35"/>
    <n v="6966.69"/>
    <n v="0.7"/>
    <n v="4876.6829999999991"/>
    <n v="2090.0070000000005"/>
    <x v="1"/>
    <m/>
  </r>
  <r>
    <s v="PAT-3127"/>
    <s v="Sarah Davis"/>
    <n v="4"/>
    <x v="3"/>
    <x v="1"/>
    <x v="115"/>
    <d v="2024-04-12T00:00:00"/>
    <n v="4"/>
    <x v="3"/>
    <x v="25"/>
    <n v="5715.35"/>
    <n v="0.7"/>
    <n v="4000.7449999999999"/>
    <n v="1714.6050000000005"/>
    <x v="0"/>
    <m/>
  </r>
  <r>
    <s v="PAT-3128"/>
    <s v="Jennifer Clark"/>
    <n v="48"/>
    <x v="0"/>
    <x v="1"/>
    <x v="116"/>
    <d v="2025-10-09T00:00:00"/>
    <n v="3"/>
    <x v="1"/>
    <x v="31"/>
    <n v="4210.91"/>
    <n v="0.9"/>
    <n v="3789.819"/>
    <n v="421.09099999999989"/>
    <x v="0"/>
    <m/>
  </r>
  <r>
    <s v="PAT-3129"/>
    <s v="Sarah Hernandez"/>
    <n v="62"/>
    <x v="0"/>
    <x v="1"/>
    <x v="117"/>
    <d v="2024-03-09T00:00:00"/>
    <n v="7"/>
    <x v="0"/>
    <x v="1"/>
    <n v="11082.93"/>
    <n v="0.5"/>
    <n v="5541.4650000000001"/>
    <n v="5541.4650000000001"/>
    <x v="1"/>
    <m/>
  </r>
  <r>
    <s v="PAT-3130"/>
    <s v="Elizabeth Garcia"/>
    <n v="31"/>
    <x v="2"/>
    <x v="1"/>
    <x v="118"/>
    <d v="2024-12-04T00:00:00"/>
    <n v="5"/>
    <x v="2"/>
    <x v="10"/>
    <n v="6234.49"/>
    <n v="1"/>
    <n v="6234.49"/>
    <n v="0"/>
    <x v="1"/>
    <m/>
  </r>
  <r>
    <s v="PAT-3131"/>
    <s v="Karen Moore"/>
    <n v="65"/>
    <x v="1"/>
    <x v="1"/>
    <x v="119"/>
    <d v="2025-05-26T00:00:00"/>
    <n v="10"/>
    <x v="5"/>
    <x v="35"/>
    <n v="17644.05"/>
    <n v="0.6"/>
    <n v="10586.429999999998"/>
    <n v="7057.6200000000008"/>
    <x v="0"/>
    <m/>
  </r>
  <r>
    <s v="PAT-3132"/>
    <s v="James Davis"/>
    <n v="80"/>
    <x v="1"/>
    <x v="0"/>
    <x v="120"/>
    <d v="2024-10-31T00:00:00"/>
    <n v="9"/>
    <x v="5"/>
    <x v="12"/>
    <n v="11838.97"/>
    <n v="0.7"/>
    <n v="8287.2789999999986"/>
    <n v="3551.6910000000007"/>
    <x v="2"/>
    <m/>
  </r>
  <r>
    <s v="PAT-3133"/>
    <s v="Joshua Martin"/>
    <n v="9"/>
    <x v="3"/>
    <x v="0"/>
    <x v="84"/>
    <d v="2024-10-27T00:00:00"/>
    <n v="3"/>
    <x v="3"/>
    <x v="24"/>
    <n v="2139.13"/>
    <n v="0.9"/>
    <n v="1925.2170000000001"/>
    <n v="213.91300000000001"/>
    <x v="2"/>
    <m/>
  </r>
  <r>
    <s v="PAT-3134"/>
    <s v="Susan White"/>
    <n v="48"/>
    <x v="0"/>
    <x v="1"/>
    <x v="64"/>
    <d v="2024-05-31T00:00:00"/>
    <n v="7"/>
    <x v="0"/>
    <x v="6"/>
    <n v="10657.18"/>
    <n v="1"/>
    <n v="10657.18"/>
    <n v="0"/>
    <x v="0"/>
    <m/>
  </r>
  <r>
    <s v="PAT-3135"/>
    <s v="Jessica Harris"/>
    <n v="83"/>
    <x v="1"/>
    <x v="1"/>
    <x v="121"/>
    <d v="2025-09-05T00:00:00"/>
    <n v="6"/>
    <x v="0"/>
    <x v="29"/>
    <n v="17707.36"/>
    <n v="0.9"/>
    <n v="15936.624000000002"/>
    <n v="1770.735999999999"/>
    <x v="0"/>
    <m/>
  </r>
  <r>
    <s v="PAT-3136"/>
    <s v="James Brown"/>
    <n v="57"/>
    <x v="0"/>
    <x v="0"/>
    <x v="122"/>
    <d v="2024-12-06T00:00:00"/>
    <n v="13"/>
    <x v="4"/>
    <x v="18"/>
    <n v="31874.83"/>
    <n v="0.9"/>
    <n v="28687.347000000002"/>
    <n v="3187.4830000000002"/>
    <x v="1"/>
    <m/>
  </r>
  <r>
    <s v="PAT-3137"/>
    <s v="Jessica Lopez"/>
    <n v="50"/>
    <x v="0"/>
    <x v="1"/>
    <x v="123"/>
    <d v="2024-06-21T00:00:00"/>
    <n v="6"/>
    <x v="2"/>
    <x v="10"/>
    <n v="5681.44"/>
    <n v="0.7"/>
    <n v="3977.0079999999994"/>
    <n v="1704.4320000000002"/>
    <x v="0"/>
    <m/>
  </r>
  <r>
    <s v="PAT-3138"/>
    <s v="Mary Robinson"/>
    <n v="58"/>
    <x v="0"/>
    <x v="1"/>
    <x v="124"/>
    <d v="2025-07-10T00:00:00"/>
    <n v="7"/>
    <x v="0"/>
    <x v="0"/>
    <n v="17588.68"/>
    <n v="0.9"/>
    <n v="15829.812"/>
    <n v="1758.8680000000004"/>
    <x v="0"/>
    <m/>
  </r>
  <r>
    <s v="PAT-3139"/>
    <s v="Matthew Davis"/>
    <n v="58"/>
    <x v="0"/>
    <x v="0"/>
    <x v="125"/>
    <d v="2025-04-04T00:00:00"/>
    <n v="2"/>
    <x v="2"/>
    <x v="33"/>
    <n v="1113.6199999999999"/>
    <n v="0.8"/>
    <n v="890.89599999999996"/>
    <n v="222.72399999999993"/>
    <x v="0"/>
    <m/>
  </r>
  <r>
    <s v="PAT-3140"/>
    <s v="Christopher Wilson"/>
    <n v="60"/>
    <x v="0"/>
    <x v="0"/>
    <x v="126"/>
    <d v="2024-06-27T00:00:00"/>
    <n v="5"/>
    <x v="2"/>
    <x v="33"/>
    <n v="3222.62"/>
    <n v="0.9"/>
    <n v="2900.3580000000002"/>
    <n v="322.26199999999972"/>
    <x v="1"/>
    <m/>
  </r>
  <r>
    <s v="PAT-3141"/>
    <s v="Karen Williams"/>
    <n v="53"/>
    <x v="0"/>
    <x v="1"/>
    <x v="127"/>
    <d v="2024-07-13T00:00:00"/>
    <n v="5"/>
    <x v="2"/>
    <x v="4"/>
    <n v="4276.67"/>
    <n v="0.5"/>
    <n v="2138.335"/>
    <n v="2138.335"/>
    <x v="0"/>
    <m/>
  </r>
  <r>
    <s v="PAT-3142"/>
    <s v="Jennifer Smith"/>
    <n v="37"/>
    <x v="2"/>
    <x v="1"/>
    <x v="128"/>
    <d v="2025-04-11T00:00:00"/>
    <n v="4"/>
    <x v="2"/>
    <x v="10"/>
    <n v="2378.61"/>
    <n v="0.7"/>
    <n v="1665.027"/>
    <n v="713.58300000000008"/>
    <x v="0"/>
    <m/>
  </r>
  <r>
    <s v="PAT-3143"/>
    <s v="Matthew Garcia"/>
    <n v="52"/>
    <x v="0"/>
    <x v="0"/>
    <x v="129"/>
    <d v="2024-01-05T00:00:00"/>
    <n v="1"/>
    <x v="1"/>
    <x v="36"/>
    <n v="1802.47"/>
    <n v="0.7"/>
    <n v="1261.729"/>
    <n v="540.74099999999999"/>
    <x v="2"/>
    <m/>
  </r>
  <r>
    <s v="PAT-3144"/>
    <s v="Michelle Thomas"/>
    <n v="64"/>
    <x v="0"/>
    <x v="1"/>
    <x v="130"/>
    <d v="2024-05-11T00:00:00"/>
    <n v="9"/>
    <x v="0"/>
    <x v="29"/>
    <n v="26472.01"/>
    <n v="0.6"/>
    <n v="15883.205999999998"/>
    <n v="10588.804"/>
    <x v="2"/>
    <m/>
  </r>
  <r>
    <s v="PAT-3145"/>
    <s v="Robert Miller"/>
    <n v="31"/>
    <x v="2"/>
    <x v="0"/>
    <x v="131"/>
    <d v="2025-08-01T00:00:00"/>
    <n v="9"/>
    <x v="5"/>
    <x v="35"/>
    <n v="15209.42"/>
    <n v="0.8"/>
    <n v="12167.536"/>
    <n v="3041.884"/>
    <x v="1"/>
    <m/>
  </r>
  <r>
    <s v="PAT-3146"/>
    <s v="Lisa Rodriguez"/>
    <n v="54"/>
    <x v="0"/>
    <x v="1"/>
    <x v="132"/>
    <d v="2025-07-12T00:00:00"/>
    <n v="1"/>
    <x v="2"/>
    <x v="10"/>
    <n v="683.93"/>
    <n v="0"/>
    <n v="0"/>
    <n v="683.93"/>
    <x v="1"/>
    <m/>
  </r>
  <r>
    <s v="PAT-3147"/>
    <s v="Barbara Wilson"/>
    <n v="77"/>
    <x v="1"/>
    <x v="1"/>
    <x v="133"/>
    <d v="2024-04-04T00:00:00"/>
    <n v="4"/>
    <x v="2"/>
    <x v="16"/>
    <n v="2163.62"/>
    <n v="0.6"/>
    <n v="1298.1719999999998"/>
    <n v="865.44800000000009"/>
    <x v="0"/>
    <m/>
  </r>
  <r>
    <s v="PAT-3148"/>
    <s v="Barbara Jones"/>
    <n v="28"/>
    <x v="2"/>
    <x v="1"/>
    <x v="134"/>
    <d v="2025-09-07T00:00:00"/>
    <n v="3"/>
    <x v="1"/>
    <x v="15"/>
    <n v="7033.75"/>
    <n v="0.9"/>
    <n v="6330.375"/>
    <n v="703.375"/>
    <x v="0"/>
    <m/>
  </r>
  <r>
    <s v="PAT-3149"/>
    <s v="Lisa Williams"/>
    <n v="57"/>
    <x v="0"/>
    <x v="1"/>
    <x v="135"/>
    <d v="2024-12-26T00:00:00"/>
    <n v="5"/>
    <x v="0"/>
    <x v="19"/>
    <n v="9216.99"/>
    <n v="1"/>
    <n v="9216.99"/>
    <n v="0"/>
    <x v="0"/>
    <m/>
  </r>
  <r>
    <s v="PAT-3150"/>
    <s v="Jennifer Young"/>
    <n v="32"/>
    <x v="2"/>
    <x v="1"/>
    <x v="80"/>
    <d v="2025-05-03T00:00:00"/>
    <n v="2"/>
    <x v="2"/>
    <x v="10"/>
    <n v="1561.35"/>
    <n v="0.9"/>
    <n v="1405.2149999999999"/>
    <n v="156.13499999999999"/>
    <x v="2"/>
    <m/>
  </r>
  <r>
    <s v="PAT-3151"/>
    <s v="Karen Smith"/>
    <n v="41"/>
    <x v="2"/>
    <x v="1"/>
    <x v="132"/>
    <d v="2025-07-20T00:00:00"/>
    <n v="9"/>
    <x v="0"/>
    <x v="0"/>
    <n v="24856.18"/>
    <n v="1"/>
    <n v="24856.18"/>
    <n v="0"/>
    <x v="0"/>
    <m/>
  </r>
  <r>
    <s v="PAT-3152"/>
    <s v="Mark Smith"/>
    <n v="43"/>
    <x v="2"/>
    <x v="0"/>
    <x v="136"/>
    <d v="2025-05-24T00:00:00"/>
    <n v="2"/>
    <x v="1"/>
    <x v="15"/>
    <n v="2493.0500000000002"/>
    <n v="0.9"/>
    <n v="2243.7450000000003"/>
    <n v="249.30499999999984"/>
    <x v="0"/>
    <m/>
  </r>
  <r>
    <s v="PAT-3153"/>
    <s v="Andrew Martinez"/>
    <n v="49"/>
    <x v="0"/>
    <x v="0"/>
    <x v="137"/>
    <d v="2024-04-21T00:00:00"/>
    <n v="3"/>
    <x v="1"/>
    <x v="7"/>
    <n v="5177.47"/>
    <n v="0.6"/>
    <n v="3106.482"/>
    <n v="2070.9880000000003"/>
    <x v="0"/>
    <m/>
  </r>
  <r>
    <s v="PAT-3154"/>
    <s v="Betty Williams"/>
    <n v="75"/>
    <x v="1"/>
    <x v="1"/>
    <x v="138"/>
    <d v="2025-04-06T00:00:00"/>
    <n v="8"/>
    <x v="4"/>
    <x v="13"/>
    <n v="12122.8"/>
    <n v="0.8"/>
    <n v="9698.24"/>
    <n v="2424.5599999999995"/>
    <x v="0"/>
    <m/>
  </r>
  <r>
    <s v="PAT-3155"/>
    <s v="Robert Jones"/>
    <n v="48"/>
    <x v="0"/>
    <x v="0"/>
    <x v="139"/>
    <d v="2024-09-11T00:00:00"/>
    <n v="4"/>
    <x v="5"/>
    <x v="28"/>
    <n v="6625.48"/>
    <n v="0.6"/>
    <n v="3975.2879999999996"/>
    <n v="2650.192"/>
    <x v="2"/>
    <m/>
  </r>
  <r>
    <s v="PAT-3156"/>
    <s v="David Jones"/>
    <n v="72"/>
    <x v="1"/>
    <x v="0"/>
    <x v="140"/>
    <d v="2024-08-01T00:00:00"/>
    <n v="9"/>
    <x v="4"/>
    <x v="14"/>
    <n v="17423.45"/>
    <n v="0.7"/>
    <n v="12196.414999999999"/>
    <n v="5227.0350000000017"/>
    <x v="2"/>
    <m/>
  </r>
  <r>
    <s v="PAT-3157"/>
    <s v="Richard Ramirez"/>
    <n v="65"/>
    <x v="1"/>
    <x v="0"/>
    <x v="141"/>
    <d v="2024-07-05T00:00:00"/>
    <n v="9"/>
    <x v="0"/>
    <x v="1"/>
    <n v="13753.53"/>
    <n v="0.9"/>
    <n v="12378.177000000001"/>
    <n v="1375.3529999999992"/>
    <x v="1"/>
    <m/>
  </r>
  <r>
    <s v="PAT-3158"/>
    <s v="Matthew Williams"/>
    <n v="44"/>
    <x v="2"/>
    <x v="0"/>
    <x v="142"/>
    <d v="2025-10-06T00:00:00"/>
    <n v="10"/>
    <x v="0"/>
    <x v="0"/>
    <n v="18100.37"/>
    <n v="0.8"/>
    <n v="14480.296"/>
    <n v="3620.0739999999987"/>
    <x v="0"/>
    <m/>
  </r>
  <r>
    <s v="PAT-3159"/>
    <s v="Linda Brown"/>
    <n v="48"/>
    <x v="0"/>
    <x v="1"/>
    <x v="143"/>
    <d v="2024-09-12T00:00:00"/>
    <n v="7"/>
    <x v="4"/>
    <x v="26"/>
    <n v="16172.66"/>
    <n v="0.7"/>
    <n v="11320.861999999999"/>
    <n v="4851.7980000000007"/>
    <x v="1"/>
    <m/>
  </r>
  <r>
    <s v="PAT-3160"/>
    <s v="Carol Thompson"/>
    <n v="43"/>
    <x v="2"/>
    <x v="1"/>
    <x v="144"/>
    <d v="2024-08-17T00:00:00"/>
    <n v="7"/>
    <x v="2"/>
    <x v="8"/>
    <n v="7133.08"/>
    <n v="0.9"/>
    <n v="6419.7719999999999"/>
    <n v="713.30799999999999"/>
    <x v="1"/>
    <m/>
  </r>
  <r>
    <s v="PAT-3161"/>
    <s v="Joseph Jackson"/>
    <n v="48"/>
    <x v="0"/>
    <x v="0"/>
    <x v="66"/>
    <d v="2026-01-01T00:00:00"/>
    <n v="10"/>
    <x v="0"/>
    <x v="0"/>
    <n v="27699.3"/>
    <n v="0.5"/>
    <n v="13849.65"/>
    <n v="13849.65"/>
    <x v="1"/>
    <m/>
  </r>
  <r>
    <s v="PAT-3162"/>
    <s v="Richard Rodriguez"/>
    <n v="77"/>
    <x v="1"/>
    <x v="0"/>
    <x v="145"/>
    <d v="2024-07-03T00:00:00"/>
    <n v="1"/>
    <x v="1"/>
    <x v="2"/>
    <n v="1403.37"/>
    <n v="0.8"/>
    <n v="1122.6959999999999"/>
    <n v="280.67399999999998"/>
    <x v="1"/>
    <m/>
  </r>
  <r>
    <s v="PAT-3163"/>
    <s v="Karen Smith"/>
    <n v="69"/>
    <x v="1"/>
    <x v="1"/>
    <x v="146"/>
    <d v="2024-05-08T00:00:00"/>
    <n v="3"/>
    <x v="1"/>
    <x v="31"/>
    <n v="3350.67"/>
    <n v="0.8"/>
    <n v="2680.5360000000001"/>
    <n v="670.13400000000001"/>
    <x v="1"/>
    <m/>
  </r>
  <r>
    <s v="PAT-3164"/>
    <s v="Elizabeth Williams"/>
    <n v="52"/>
    <x v="0"/>
    <x v="1"/>
    <x v="147"/>
    <d v="2024-02-04T00:00:00"/>
    <n v="2"/>
    <x v="1"/>
    <x v="31"/>
    <n v="2922.92"/>
    <n v="1"/>
    <n v="2922.92"/>
    <n v="0"/>
    <x v="1"/>
    <m/>
  </r>
  <r>
    <s v="PAT-3165"/>
    <s v="Lisa Garcia"/>
    <n v="67"/>
    <x v="1"/>
    <x v="1"/>
    <x v="148"/>
    <d v="2024-11-23T00:00:00"/>
    <n v="2"/>
    <x v="1"/>
    <x v="31"/>
    <n v="2127.71"/>
    <n v="0.9"/>
    <n v="1914.9390000000001"/>
    <n v="212.77099999999996"/>
    <x v="2"/>
    <m/>
  </r>
  <r>
    <s v="PAT-3166"/>
    <s v="Ashley Smith"/>
    <n v="75"/>
    <x v="1"/>
    <x v="1"/>
    <x v="149"/>
    <d v="2025-09-22T00:00:00"/>
    <n v="9"/>
    <x v="0"/>
    <x v="29"/>
    <n v="15507.09"/>
    <n v="0.9"/>
    <n v="13956.381000000001"/>
    <n v="1550.7089999999989"/>
    <x v="0"/>
    <m/>
  </r>
  <r>
    <s v="PAT-3167"/>
    <s v="Steven Thomas"/>
    <n v="3"/>
    <x v="3"/>
    <x v="0"/>
    <x v="150"/>
    <d v="2025-08-17T00:00:00"/>
    <n v="2"/>
    <x v="3"/>
    <x v="37"/>
    <n v="2767.57"/>
    <n v="0.5"/>
    <n v="1383.7850000000001"/>
    <n v="1383.7850000000001"/>
    <x v="0"/>
    <m/>
  </r>
  <r>
    <s v="PAT-3168"/>
    <s v="Ashley Wilson"/>
    <n v="82"/>
    <x v="1"/>
    <x v="1"/>
    <x v="151"/>
    <d v="2025-08-01T00:00:00"/>
    <n v="1"/>
    <x v="1"/>
    <x v="2"/>
    <n v="1998.09"/>
    <n v="0.8"/>
    <n v="1598.472"/>
    <n v="399.61799999999994"/>
    <x v="0"/>
    <m/>
  </r>
  <r>
    <s v="PAT-3169"/>
    <s v="Carol Garcia"/>
    <n v="16"/>
    <x v="5"/>
    <x v="1"/>
    <x v="70"/>
    <d v="2025-04-06T00:00:00"/>
    <n v="5"/>
    <x v="3"/>
    <x v="25"/>
    <n v="6351.72"/>
    <n v="0.6"/>
    <n v="3811.0320000000002"/>
    <n v="2540.6880000000001"/>
    <x v="0"/>
    <m/>
  </r>
  <r>
    <s v="PAT-3170"/>
    <s v="Richard Williams"/>
    <n v="47"/>
    <x v="0"/>
    <x v="0"/>
    <x v="152"/>
    <d v="2025-02-11T00:00:00"/>
    <n v="2"/>
    <x v="1"/>
    <x v="7"/>
    <n v="2177.35"/>
    <n v="0.8"/>
    <n v="1741.88"/>
    <n v="435.4699999999998"/>
    <x v="0"/>
    <m/>
  </r>
  <r>
    <s v="PAT-3171"/>
    <s v="Mary Martin"/>
    <n v="52"/>
    <x v="0"/>
    <x v="1"/>
    <x v="153"/>
    <d v="2025-06-15T00:00:00"/>
    <n v="3"/>
    <x v="0"/>
    <x v="1"/>
    <n v="4484.95"/>
    <n v="0.8"/>
    <n v="3587.96"/>
    <n v="896.98999999999978"/>
    <x v="0"/>
    <m/>
  </r>
  <r>
    <s v="PAT-3172"/>
    <s v="Richard Jones"/>
    <n v="81"/>
    <x v="1"/>
    <x v="0"/>
    <x v="154"/>
    <d v="2024-08-30T00:00:00"/>
    <n v="2"/>
    <x v="1"/>
    <x v="32"/>
    <n v="3381.88"/>
    <n v="0.9"/>
    <n v="3043.692"/>
    <n v="338.1880000000001"/>
    <x v="0"/>
    <m/>
  </r>
  <r>
    <s v="PAT-3173"/>
    <s v="Brian Taylor"/>
    <n v="60"/>
    <x v="0"/>
    <x v="0"/>
    <x v="155"/>
    <d v="2025-06-28T00:00:00"/>
    <n v="5"/>
    <x v="4"/>
    <x v="18"/>
    <n v="11601.6"/>
    <n v="0.7"/>
    <n v="8121.12"/>
    <n v="3480.4800000000005"/>
    <x v="1"/>
    <m/>
  </r>
  <r>
    <s v="PAT-3174"/>
    <s v="Jessica Hernandez"/>
    <n v="82"/>
    <x v="1"/>
    <x v="1"/>
    <x v="156"/>
    <d v="2025-03-03T00:00:00"/>
    <n v="2"/>
    <x v="1"/>
    <x v="2"/>
    <n v="2198.17"/>
    <n v="0.9"/>
    <n v="1978.3530000000001"/>
    <n v="219.81700000000001"/>
    <x v="0"/>
    <m/>
  </r>
  <r>
    <s v="PAT-3175"/>
    <s v="Emily Robinson"/>
    <n v="34"/>
    <x v="2"/>
    <x v="1"/>
    <x v="157"/>
    <d v="2025-10-17T00:00:00"/>
    <n v="13"/>
    <x v="4"/>
    <x v="13"/>
    <n v="35611.43"/>
    <n v="0.7"/>
    <n v="24928.001"/>
    <n v="10683.429"/>
    <x v="0"/>
    <m/>
  </r>
  <r>
    <s v="PAT-3176"/>
    <s v="Christopher White"/>
    <n v="55"/>
    <x v="0"/>
    <x v="0"/>
    <x v="32"/>
    <d v="2025-05-26T00:00:00"/>
    <n v="5"/>
    <x v="0"/>
    <x v="20"/>
    <n v="8093.35"/>
    <n v="1"/>
    <n v="8093.35"/>
    <n v="0"/>
    <x v="2"/>
    <m/>
  </r>
  <r>
    <s v="PAT-3177"/>
    <s v="James White"/>
    <n v="69"/>
    <x v="1"/>
    <x v="0"/>
    <x v="158"/>
    <d v="2024-02-19T00:00:00"/>
    <n v="8"/>
    <x v="5"/>
    <x v="34"/>
    <n v="15311.93"/>
    <n v="0.6"/>
    <n v="9187.1579999999994"/>
    <n v="6124.7720000000008"/>
    <x v="1"/>
    <m/>
  </r>
  <r>
    <s v="PAT-3178"/>
    <s v="Lisa Thompson"/>
    <n v="59"/>
    <x v="0"/>
    <x v="1"/>
    <x v="50"/>
    <d v="2024-10-13T00:00:00"/>
    <n v="3"/>
    <x v="1"/>
    <x v="2"/>
    <n v="4201.93"/>
    <n v="0.8"/>
    <n v="3361.5440000000003"/>
    <n v="840.38599999999997"/>
    <x v="0"/>
    <m/>
  </r>
  <r>
    <s v="PAT-3179"/>
    <s v="Ashley Walker"/>
    <n v="51"/>
    <x v="0"/>
    <x v="1"/>
    <x v="159"/>
    <d v="2025-11-07T00:00:00"/>
    <n v="9"/>
    <x v="4"/>
    <x v="27"/>
    <n v="12277.27"/>
    <n v="0.9"/>
    <n v="11049.543000000001"/>
    <n v="1227.726999999999"/>
    <x v="0"/>
    <m/>
  </r>
  <r>
    <s v="PAT-3180"/>
    <s v="Jessica Ramirez"/>
    <n v="7"/>
    <x v="3"/>
    <x v="1"/>
    <x v="160"/>
    <d v="2025-05-12T00:00:00"/>
    <n v="4"/>
    <x v="3"/>
    <x v="24"/>
    <n v="4150.83"/>
    <n v="0.7"/>
    <n v="2905.5809999999997"/>
    <n v="1245.2490000000003"/>
    <x v="1"/>
    <m/>
  </r>
  <r>
    <s v="PAT-3181"/>
    <s v="Daniel Jackson"/>
    <n v="27"/>
    <x v="2"/>
    <x v="0"/>
    <x v="161"/>
    <d v="2024-01-12T00:00:00"/>
    <n v="3"/>
    <x v="2"/>
    <x v="33"/>
    <n v="2123.81"/>
    <n v="1"/>
    <n v="2123.81"/>
    <n v="0"/>
    <x v="0"/>
    <m/>
  </r>
  <r>
    <s v="PAT-3182"/>
    <s v="Emily Clark"/>
    <n v="56"/>
    <x v="0"/>
    <x v="1"/>
    <x v="162"/>
    <d v="2025-02-03T00:00:00"/>
    <n v="13"/>
    <x v="4"/>
    <x v="14"/>
    <n v="29767.07"/>
    <n v="0.8"/>
    <n v="23813.656000000003"/>
    <n v="5953.413999999997"/>
    <x v="1"/>
    <m/>
  </r>
  <r>
    <s v="PAT-3183"/>
    <s v="David White"/>
    <n v="8"/>
    <x v="3"/>
    <x v="0"/>
    <x v="163"/>
    <d v="2025-06-22T00:00:00"/>
    <n v="5"/>
    <x v="3"/>
    <x v="22"/>
    <n v="5537.93"/>
    <n v="0.9"/>
    <n v="4984.1370000000006"/>
    <n v="553.79299999999967"/>
    <x v="0"/>
    <m/>
  </r>
  <r>
    <s v="PAT-3184"/>
    <s v="Joshua Garcia"/>
    <n v="77"/>
    <x v="1"/>
    <x v="0"/>
    <x v="164"/>
    <d v="2025-08-28T00:00:00"/>
    <n v="6"/>
    <x v="2"/>
    <x v="5"/>
    <n v="7949.08"/>
    <n v="0.6"/>
    <n v="4769.4479999999994"/>
    <n v="3179.6320000000005"/>
    <x v="0"/>
    <m/>
  </r>
  <r>
    <s v="PAT-3185"/>
    <s v="Robert Lewis"/>
    <n v="3"/>
    <x v="3"/>
    <x v="0"/>
    <x v="165"/>
    <d v="2024-12-29T00:00:00"/>
    <n v="4"/>
    <x v="3"/>
    <x v="24"/>
    <n v="6607.88"/>
    <n v="0.7"/>
    <n v="4625.5159999999996"/>
    <n v="1982.3640000000005"/>
    <x v="0"/>
    <m/>
  </r>
  <r>
    <s v="PAT-3186"/>
    <s v="Susan Thomas"/>
    <n v="12"/>
    <x v="5"/>
    <x v="1"/>
    <x v="166"/>
    <d v="2024-09-16T00:00:00"/>
    <n v="3"/>
    <x v="3"/>
    <x v="23"/>
    <n v="4728.71"/>
    <n v="0.5"/>
    <n v="2364.355"/>
    <n v="2364.355"/>
    <x v="0"/>
    <m/>
  </r>
  <r>
    <s v="PAT-3187"/>
    <s v="Barbara White"/>
    <n v="83"/>
    <x v="1"/>
    <x v="1"/>
    <x v="167"/>
    <d v="2024-03-09T00:00:00"/>
    <n v="8"/>
    <x v="0"/>
    <x v="1"/>
    <n v="15664.73"/>
    <n v="0.8"/>
    <n v="12531.784"/>
    <n v="3132.9459999999999"/>
    <x v="0"/>
    <m/>
  </r>
  <r>
    <s v="PAT-3188"/>
    <s v="Betty Clark"/>
    <n v="53"/>
    <x v="0"/>
    <x v="1"/>
    <x v="168"/>
    <d v="2025-10-25T00:00:00"/>
    <n v="4"/>
    <x v="2"/>
    <x v="33"/>
    <n v="2716.52"/>
    <n v="0"/>
    <n v="0"/>
    <n v="2716.52"/>
    <x v="2"/>
    <m/>
  </r>
  <r>
    <s v="PAT-3189"/>
    <s v="Susan Miller"/>
    <n v="29"/>
    <x v="2"/>
    <x v="1"/>
    <x v="38"/>
    <d v="2024-12-18T00:00:00"/>
    <n v="1"/>
    <x v="2"/>
    <x v="21"/>
    <n v="716.18"/>
    <n v="0.8"/>
    <n v="572.94399999999996"/>
    <n v="143.23599999999999"/>
    <x v="0"/>
    <m/>
  </r>
  <r>
    <s v="PAT-3190"/>
    <s v="Jennifer Young"/>
    <n v="49"/>
    <x v="0"/>
    <x v="1"/>
    <x v="169"/>
    <d v="2025-03-25T00:00:00"/>
    <n v="3"/>
    <x v="5"/>
    <x v="28"/>
    <n v="3478.78"/>
    <n v="0.8"/>
    <n v="2783.0240000000003"/>
    <n v="695.75599999999986"/>
    <x v="0"/>
    <m/>
  </r>
  <r>
    <s v="PAT-3191"/>
    <s v="Mary Miller"/>
    <n v="48"/>
    <x v="0"/>
    <x v="1"/>
    <x v="40"/>
    <d v="2025-11-24T00:00:00"/>
    <n v="6"/>
    <x v="2"/>
    <x v="10"/>
    <n v="3693.12"/>
    <n v="1"/>
    <n v="3693.12"/>
    <n v="0"/>
    <x v="1"/>
    <m/>
  </r>
  <r>
    <s v="PAT-3192"/>
    <s v="Barbara Garcia"/>
    <n v="80"/>
    <x v="1"/>
    <x v="1"/>
    <x v="170"/>
    <d v="2024-03-12T00:00:00"/>
    <n v="1"/>
    <x v="2"/>
    <x v="21"/>
    <n v="1441.21"/>
    <n v="0"/>
    <n v="0"/>
    <n v="1441.21"/>
    <x v="0"/>
    <m/>
  </r>
  <r>
    <s v="PAT-3193"/>
    <s v="Lisa Clark"/>
    <n v="52"/>
    <x v="0"/>
    <x v="1"/>
    <x v="171"/>
    <d v="2024-12-19T00:00:00"/>
    <n v="6"/>
    <x v="2"/>
    <x v="21"/>
    <n v="8378.4500000000007"/>
    <n v="0.7"/>
    <n v="5864.915"/>
    <n v="2513.5350000000008"/>
    <x v="1"/>
    <m/>
  </r>
  <r>
    <s v="PAT-3194"/>
    <s v="Dorothy White"/>
    <n v="77"/>
    <x v="1"/>
    <x v="1"/>
    <x v="172"/>
    <d v="2024-10-30T00:00:00"/>
    <n v="10"/>
    <x v="0"/>
    <x v="0"/>
    <n v="16501.419999999998"/>
    <n v="0.5"/>
    <n v="8250.7099999999991"/>
    <n v="8250.7099999999991"/>
    <x v="0"/>
    <m/>
  </r>
  <r>
    <s v="PAT-3195"/>
    <s v="Linda Jackson"/>
    <n v="53"/>
    <x v="0"/>
    <x v="1"/>
    <x v="32"/>
    <d v="2025-05-30T00:00:00"/>
    <n v="9"/>
    <x v="0"/>
    <x v="19"/>
    <n v="18430.509999999998"/>
    <n v="1"/>
    <n v="18430.509999999998"/>
    <n v="0"/>
    <x v="0"/>
    <m/>
  </r>
  <r>
    <s v="PAT-3196"/>
    <s v="Anthony Thompson"/>
    <n v="42"/>
    <x v="2"/>
    <x v="0"/>
    <x v="173"/>
    <d v="2024-09-18T00:00:00"/>
    <n v="3"/>
    <x v="2"/>
    <x v="16"/>
    <n v="1567.15"/>
    <n v="0.8"/>
    <n v="1253.7200000000003"/>
    <n v="313.42999999999984"/>
    <x v="2"/>
    <m/>
  </r>
  <r>
    <s v="PAT-3197"/>
    <s v="Michelle Perez"/>
    <n v="61"/>
    <x v="0"/>
    <x v="1"/>
    <x v="47"/>
    <d v="2024-09-11T00:00:00"/>
    <n v="1"/>
    <x v="1"/>
    <x v="7"/>
    <n v="917.44"/>
    <n v="0.8"/>
    <n v="733.95200000000011"/>
    <n v="183.48799999999994"/>
    <x v="0"/>
    <m/>
  </r>
  <r>
    <s v="PAT-3198"/>
    <s v="Nancy Harris"/>
    <n v="81"/>
    <x v="1"/>
    <x v="1"/>
    <x v="174"/>
    <d v="2025-12-12T00:00:00"/>
    <n v="9"/>
    <x v="0"/>
    <x v="19"/>
    <n v="18345.38"/>
    <n v="0.8"/>
    <n v="14676.304000000002"/>
    <n v="3669.0759999999991"/>
    <x v="1"/>
    <m/>
  </r>
  <r>
    <s v="PAT-3199"/>
    <s v="Ashley Moore"/>
    <n v="53"/>
    <x v="0"/>
    <x v="1"/>
    <x v="175"/>
    <d v="2024-12-09T00:00:00"/>
    <n v="9"/>
    <x v="5"/>
    <x v="12"/>
    <n v="19211.240000000002"/>
    <n v="0.9"/>
    <n v="17290.116000000002"/>
    <n v="1921.1239999999998"/>
    <x v="0"/>
    <m/>
  </r>
  <r>
    <s v="PAT-3200"/>
    <s v="Joshua Rodriguez"/>
    <n v="48"/>
    <x v="0"/>
    <x v="0"/>
    <x v="176"/>
    <d v="2025-06-01T00:00:00"/>
    <n v="4"/>
    <x v="0"/>
    <x v="1"/>
    <n v="10336.58"/>
    <n v="1"/>
    <n v="10336.58"/>
    <n v="0"/>
    <x v="0"/>
    <m/>
  </r>
  <r>
    <s v="PAT-3201"/>
    <s v="Lisa Martin"/>
    <n v="64"/>
    <x v="0"/>
    <x v="1"/>
    <x v="177"/>
    <d v="2025-02-24T00:00:00"/>
    <n v="7"/>
    <x v="2"/>
    <x v="33"/>
    <n v="4926.12"/>
    <n v="0.7"/>
    <n v="3448.2839999999997"/>
    <n v="1477.8360000000002"/>
    <x v="1"/>
    <m/>
  </r>
  <r>
    <s v="PAT-3202"/>
    <s v="Susan Davis"/>
    <n v="80"/>
    <x v="1"/>
    <x v="1"/>
    <x v="178"/>
    <d v="2024-07-24T00:00:00"/>
    <n v="6"/>
    <x v="5"/>
    <x v="35"/>
    <n v="13102.72"/>
    <n v="0.5"/>
    <n v="6551.36"/>
    <n v="6551.36"/>
    <x v="1"/>
    <m/>
  </r>
  <r>
    <s v="PAT-3203"/>
    <s v="Anthony Anderson"/>
    <n v="56"/>
    <x v="0"/>
    <x v="0"/>
    <x v="179"/>
    <d v="2024-03-11T00:00:00"/>
    <n v="7"/>
    <x v="2"/>
    <x v="5"/>
    <n v="4595.79"/>
    <n v="0.8"/>
    <n v="3676.6320000000001"/>
    <n v="919.1579999999999"/>
    <x v="0"/>
    <m/>
  </r>
  <r>
    <s v="PAT-3204"/>
    <s v="Kenneth Jones"/>
    <n v="63"/>
    <x v="0"/>
    <x v="0"/>
    <x v="118"/>
    <d v="2024-12-02T00:00:00"/>
    <n v="3"/>
    <x v="1"/>
    <x v="31"/>
    <n v="3717.61"/>
    <n v="0.9"/>
    <n v="3345.8490000000002"/>
    <n v="371.76099999999997"/>
    <x v="1"/>
    <m/>
  </r>
  <r>
    <s v="PAT-3205"/>
    <s v="Daniel Young"/>
    <n v="43"/>
    <x v="2"/>
    <x v="0"/>
    <x v="180"/>
    <d v="2026-01-03T00:00:00"/>
    <n v="13"/>
    <x v="4"/>
    <x v="18"/>
    <n v="33810.44"/>
    <n v="0.9"/>
    <n v="30429.396000000004"/>
    <n v="3381.0439999999981"/>
    <x v="0"/>
    <m/>
  </r>
  <r>
    <s v="PAT-3206"/>
    <s v="Betty Williams"/>
    <n v="8"/>
    <x v="3"/>
    <x v="1"/>
    <x v="181"/>
    <d v="2025-01-07T00:00:00"/>
    <n v="4"/>
    <x v="3"/>
    <x v="22"/>
    <n v="4115.83"/>
    <n v="0.5"/>
    <n v="2057.915"/>
    <n v="2057.915"/>
    <x v="0"/>
    <m/>
  </r>
  <r>
    <s v="PAT-3207"/>
    <s v="Ashley Brown"/>
    <n v="56"/>
    <x v="0"/>
    <x v="1"/>
    <x v="70"/>
    <d v="2025-04-07T00:00:00"/>
    <n v="6"/>
    <x v="2"/>
    <x v="5"/>
    <n v="8245.4599999999991"/>
    <n v="0.5"/>
    <n v="4122.7299999999996"/>
    <n v="4122.7299999999996"/>
    <x v="2"/>
    <m/>
  </r>
  <r>
    <s v="PAT-3208"/>
    <s v="Anthony Rodriguez"/>
    <n v="11"/>
    <x v="3"/>
    <x v="0"/>
    <x v="182"/>
    <d v="2025-02-21T00:00:00"/>
    <n v="5"/>
    <x v="3"/>
    <x v="9"/>
    <n v="7654.55"/>
    <n v="1"/>
    <n v="7654.55"/>
    <n v="0"/>
    <x v="0"/>
    <m/>
  </r>
  <r>
    <s v="PAT-3209"/>
    <s v="Joshua Moore"/>
    <n v="52"/>
    <x v="0"/>
    <x v="0"/>
    <x v="24"/>
    <d v="2025-02-22T00:00:00"/>
    <n v="4"/>
    <x v="5"/>
    <x v="28"/>
    <n v="7167.44"/>
    <n v="0.8"/>
    <n v="5733.9520000000002"/>
    <n v="1433.4879999999994"/>
    <x v="0"/>
    <m/>
  </r>
  <r>
    <s v="PAT-3210"/>
    <s v="Barbara Young"/>
    <n v="53"/>
    <x v="0"/>
    <x v="1"/>
    <x v="183"/>
    <d v="2025-06-03T00:00:00"/>
    <n v="2"/>
    <x v="1"/>
    <x v="2"/>
    <n v="2556.12"/>
    <n v="0.8"/>
    <n v="2044.896"/>
    <n v="511.22399999999993"/>
    <x v="0"/>
    <m/>
  </r>
  <r>
    <s v="PAT-3211"/>
    <s v="Christopher White"/>
    <n v="3"/>
    <x v="3"/>
    <x v="0"/>
    <x v="184"/>
    <d v="2024-08-08T00:00:00"/>
    <n v="3"/>
    <x v="3"/>
    <x v="24"/>
    <n v="3139.43"/>
    <n v="0.8"/>
    <n v="2511.5439999999999"/>
    <n v="627.88599999999997"/>
    <x v="0"/>
    <m/>
  </r>
  <r>
    <s v="PAT-3212"/>
    <s v="William Perez"/>
    <n v="84"/>
    <x v="1"/>
    <x v="0"/>
    <x v="63"/>
    <d v="2025-03-16T00:00:00"/>
    <n v="1"/>
    <x v="1"/>
    <x v="2"/>
    <n v="1893.98"/>
    <n v="0.9"/>
    <n v="1704.5820000000001"/>
    <n v="189.39799999999991"/>
    <x v="0"/>
    <m/>
  </r>
  <r>
    <s v="PAT-3213"/>
    <s v="Emily Clark"/>
    <n v="32"/>
    <x v="2"/>
    <x v="1"/>
    <x v="185"/>
    <d v="2025-07-02T00:00:00"/>
    <n v="6"/>
    <x v="5"/>
    <x v="28"/>
    <n v="11663.48"/>
    <n v="0"/>
    <n v="0"/>
    <n v="11663.48"/>
    <x v="1"/>
    <m/>
  </r>
  <r>
    <s v="PAT-3214"/>
    <s v="Mary Taylor"/>
    <n v="39"/>
    <x v="2"/>
    <x v="1"/>
    <x v="186"/>
    <d v="2024-09-09T00:00:00"/>
    <n v="3"/>
    <x v="2"/>
    <x v="21"/>
    <n v="1596.88"/>
    <n v="0.5"/>
    <n v="798.44"/>
    <n v="798.44"/>
    <x v="2"/>
    <m/>
  </r>
  <r>
    <s v="PAT-3215"/>
    <s v="Michelle Garcia"/>
    <n v="49"/>
    <x v="0"/>
    <x v="1"/>
    <x v="187"/>
    <d v="2024-08-09T00:00:00"/>
    <n v="5"/>
    <x v="2"/>
    <x v="8"/>
    <n v="4111.79"/>
    <n v="0.8"/>
    <n v="3289.4320000000002"/>
    <n v="822.35799999999972"/>
    <x v="0"/>
    <m/>
  </r>
  <r>
    <s v="PAT-3216"/>
    <s v="Michael Perez"/>
    <n v="28"/>
    <x v="2"/>
    <x v="0"/>
    <x v="188"/>
    <d v="2024-03-27T00:00:00"/>
    <n v="3"/>
    <x v="1"/>
    <x v="2"/>
    <n v="6606.32"/>
    <n v="0.8"/>
    <n v="5285.0560000000005"/>
    <n v="1321.2639999999992"/>
    <x v="0"/>
    <m/>
  </r>
  <r>
    <s v="PAT-3217"/>
    <s v="Carol White"/>
    <n v="53"/>
    <x v="0"/>
    <x v="1"/>
    <x v="186"/>
    <d v="2024-09-18T00:00:00"/>
    <n v="12"/>
    <x v="5"/>
    <x v="35"/>
    <n v="31197"/>
    <n v="0.8"/>
    <n v="24957.600000000002"/>
    <n v="6239.3999999999978"/>
    <x v="1"/>
    <m/>
  </r>
  <r>
    <s v="PAT-3218"/>
    <s v="Christopher Perez"/>
    <n v="46"/>
    <x v="0"/>
    <x v="0"/>
    <x v="189"/>
    <d v="2025-01-11T00:00:00"/>
    <n v="10"/>
    <x v="0"/>
    <x v="1"/>
    <n v="23891.3"/>
    <n v="0.9"/>
    <n v="21502.17"/>
    <n v="2389.130000000001"/>
    <x v="0"/>
    <m/>
  </r>
  <r>
    <s v="PAT-3219"/>
    <s v="David Moore"/>
    <n v="66"/>
    <x v="1"/>
    <x v="0"/>
    <x v="190"/>
    <d v="2025-11-27T00:00:00"/>
    <n v="10"/>
    <x v="0"/>
    <x v="20"/>
    <n v="18293.13"/>
    <n v="0.6"/>
    <n v="10975.878000000001"/>
    <n v="7317.2520000000004"/>
    <x v="2"/>
    <m/>
  </r>
  <r>
    <s v="PAT-3220"/>
    <s v="Emily Walker"/>
    <n v="28"/>
    <x v="2"/>
    <x v="1"/>
    <x v="13"/>
    <d v="2024-08-23T00:00:00"/>
    <n v="3"/>
    <x v="1"/>
    <x v="31"/>
    <n v="7364.68"/>
    <n v="0.7"/>
    <n v="5155.2759999999998"/>
    <n v="2209.4040000000005"/>
    <x v="1"/>
    <m/>
  </r>
  <r>
    <s v="PAT-3221"/>
    <s v="Jessica Jackson"/>
    <n v="3"/>
    <x v="3"/>
    <x v="1"/>
    <x v="141"/>
    <d v="2024-06-28T00:00:00"/>
    <n v="2"/>
    <x v="3"/>
    <x v="9"/>
    <n v="2403.02"/>
    <n v="0.8"/>
    <n v="1922.4160000000002"/>
    <n v="480.60399999999981"/>
    <x v="0"/>
    <m/>
  </r>
  <r>
    <s v="PAT-3222"/>
    <s v="Thomas Miller"/>
    <n v="68"/>
    <x v="1"/>
    <x v="0"/>
    <x v="191"/>
    <d v="2025-12-09T00:00:00"/>
    <n v="10"/>
    <x v="5"/>
    <x v="17"/>
    <n v="22054.65"/>
    <n v="0.8"/>
    <n v="17643.72"/>
    <n v="4410.93"/>
    <x v="1"/>
    <m/>
  </r>
  <r>
    <s v="PAT-3223"/>
    <s v="Kevin Taylor"/>
    <n v="40"/>
    <x v="2"/>
    <x v="0"/>
    <x v="66"/>
    <d v="2025-12-27T00:00:00"/>
    <n v="5"/>
    <x v="2"/>
    <x v="8"/>
    <n v="6331.28"/>
    <n v="0.8"/>
    <n v="5065.0240000000003"/>
    <n v="1266.2559999999994"/>
    <x v="2"/>
    <m/>
  </r>
  <r>
    <s v="PAT-3224"/>
    <s v="Richard Robinson"/>
    <n v="63"/>
    <x v="0"/>
    <x v="0"/>
    <x v="192"/>
    <d v="2024-10-19T00:00:00"/>
    <n v="10"/>
    <x v="0"/>
    <x v="29"/>
    <n v="27345.03"/>
    <n v="1"/>
    <n v="27345.03"/>
    <n v="0"/>
    <x v="1"/>
    <m/>
  </r>
  <r>
    <s v="PAT-3225"/>
    <s v="Michelle Martinez"/>
    <n v="44"/>
    <x v="2"/>
    <x v="1"/>
    <x v="130"/>
    <d v="2024-05-10T00:00:00"/>
    <n v="8"/>
    <x v="4"/>
    <x v="11"/>
    <n v="11435.94"/>
    <n v="0.9"/>
    <n v="10292.346000000001"/>
    <n v="1143.5939999999991"/>
    <x v="0"/>
    <m/>
  </r>
  <r>
    <s v="PAT-3226"/>
    <s v="William Young"/>
    <n v="70"/>
    <x v="1"/>
    <x v="0"/>
    <x v="193"/>
    <d v="2024-09-19T00:00:00"/>
    <n v="1"/>
    <x v="1"/>
    <x v="36"/>
    <n v="859.95"/>
    <n v="0.6"/>
    <n v="515.97"/>
    <n v="343.98"/>
    <x v="1"/>
    <m/>
  </r>
  <r>
    <s v="PAT-3227"/>
    <s v="Richard Smith"/>
    <n v="1"/>
    <x v="6"/>
    <x v="0"/>
    <x v="137"/>
    <d v="2024-04-21T00:00:00"/>
    <n v="3"/>
    <x v="3"/>
    <x v="23"/>
    <n v="2590.21"/>
    <n v="0.9"/>
    <n v="2331.1890000000003"/>
    <n v="259.02099999999973"/>
    <x v="1"/>
    <m/>
  </r>
  <r>
    <s v="PAT-3228"/>
    <s v="Betty Thompson"/>
    <n v="48"/>
    <x v="0"/>
    <x v="1"/>
    <x v="194"/>
    <d v="2025-07-27T00:00:00"/>
    <n v="1"/>
    <x v="2"/>
    <x v="8"/>
    <n v="791.92"/>
    <n v="0.5"/>
    <n v="395.96"/>
    <n v="395.96"/>
    <x v="2"/>
    <m/>
  </r>
  <r>
    <s v="PAT-3229"/>
    <s v="Jessica Young"/>
    <n v="48"/>
    <x v="0"/>
    <x v="1"/>
    <x v="144"/>
    <d v="2024-08-13T00:00:00"/>
    <n v="3"/>
    <x v="1"/>
    <x v="32"/>
    <n v="3524.43"/>
    <n v="0.8"/>
    <n v="2819.5439999999999"/>
    <n v="704.88599999999997"/>
    <x v="0"/>
    <m/>
  </r>
  <r>
    <s v="PAT-3230"/>
    <s v="Joshua Taylor"/>
    <n v="43"/>
    <x v="2"/>
    <x v="0"/>
    <x v="195"/>
    <d v="2024-06-14T00:00:00"/>
    <n v="2"/>
    <x v="4"/>
    <x v="18"/>
    <n v="4464.59"/>
    <n v="0"/>
    <n v="0"/>
    <n v="4464.59"/>
    <x v="2"/>
    <m/>
  </r>
  <r>
    <s v="PAT-3231"/>
    <s v="Karen Robinson"/>
    <n v="24"/>
    <x v="2"/>
    <x v="1"/>
    <x v="23"/>
    <d v="2024-03-22T00:00:00"/>
    <n v="3"/>
    <x v="1"/>
    <x v="36"/>
    <n v="4867.6099999999997"/>
    <n v="0.7"/>
    <n v="3407.3269999999998"/>
    <n v="1460.2829999999999"/>
    <x v="0"/>
    <m/>
  </r>
  <r>
    <s v="PAT-3232"/>
    <s v="Daniel Harris"/>
    <n v="41"/>
    <x v="2"/>
    <x v="0"/>
    <x v="196"/>
    <d v="2024-11-13T00:00:00"/>
    <n v="4"/>
    <x v="0"/>
    <x v="29"/>
    <n v="5584.74"/>
    <n v="1"/>
    <n v="5584.74"/>
    <n v="0"/>
    <x v="0"/>
    <m/>
  </r>
  <r>
    <s v="PAT-3233"/>
    <s v="Sarah Perez"/>
    <n v="51"/>
    <x v="0"/>
    <x v="1"/>
    <x v="55"/>
    <d v="2025-05-07T00:00:00"/>
    <n v="2"/>
    <x v="1"/>
    <x v="2"/>
    <n v="4718.74"/>
    <n v="0.8"/>
    <n v="3774.9920000000002"/>
    <n v="943.74799999999959"/>
    <x v="1"/>
    <m/>
  </r>
  <r>
    <s v="PAT-3234"/>
    <s v="Joseph Robinson"/>
    <n v="10"/>
    <x v="3"/>
    <x v="0"/>
    <x v="197"/>
    <d v="2025-02-15T00:00:00"/>
    <n v="1"/>
    <x v="3"/>
    <x v="37"/>
    <n v="1605.56"/>
    <n v="0.8"/>
    <n v="1284.4480000000001"/>
    <n v="321.11199999999985"/>
    <x v="1"/>
    <m/>
  </r>
  <r>
    <s v="PAT-3235"/>
    <s v="Kenneth Anderson"/>
    <n v="75"/>
    <x v="1"/>
    <x v="0"/>
    <x v="198"/>
    <d v="2025-03-01T00:00:00"/>
    <n v="1"/>
    <x v="2"/>
    <x v="5"/>
    <n v="1383.31"/>
    <n v="0.9"/>
    <n v="1244.979"/>
    <n v="138.3309999999999"/>
    <x v="0"/>
    <m/>
  </r>
  <r>
    <s v="PAT-3236"/>
    <s v="Ashley Williams"/>
    <n v="50"/>
    <x v="0"/>
    <x v="1"/>
    <x v="199"/>
    <d v="2025-04-08T00:00:00"/>
    <n v="8"/>
    <x v="0"/>
    <x v="20"/>
    <n v="19135.11"/>
    <n v="0.8"/>
    <n v="15308.088000000002"/>
    <n v="3827.021999999999"/>
    <x v="0"/>
    <m/>
  </r>
  <r>
    <s v="PAT-3237"/>
    <s v="Dorothy Taylor"/>
    <n v="46"/>
    <x v="0"/>
    <x v="1"/>
    <x v="200"/>
    <d v="2024-10-17T00:00:00"/>
    <n v="4"/>
    <x v="4"/>
    <x v="14"/>
    <n v="9234.25"/>
    <n v="0.7"/>
    <n v="6463.9749999999995"/>
    <n v="2770.2750000000005"/>
    <x v="1"/>
    <m/>
  </r>
  <r>
    <s v="PAT-3238"/>
    <s v="William Williams"/>
    <n v="83"/>
    <x v="1"/>
    <x v="0"/>
    <x v="201"/>
    <d v="2024-06-29T00:00:00"/>
    <n v="5"/>
    <x v="0"/>
    <x v="20"/>
    <n v="7388.36"/>
    <n v="0.9"/>
    <n v="6649.5239999999994"/>
    <n v="738.83600000000024"/>
    <x v="0"/>
    <m/>
  </r>
  <r>
    <s v="PAT-3239"/>
    <s v="Ashley Thomas"/>
    <n v="17"/>
    <x v="5"/>
    <x v="1"/>
    <x v="126"/>
    <d v="2024-06-25T00:00:00"/>
    <n v="3"/>
    <x v="3"/>
    <x v="24"/>
    <n v="2080.9499999999998"/>
    <n v="1"/>
    <n v="2080.9499999999998"/>
    <n v="0"/>
    <x v="2"/>
    <m/>
  </r>
  <r>
    <s v="PAT-3240"/>
    <s v="Richard Young"/>
    <n v="70"/>
    <x v="1"/>
    <x v="0"/>
    <x v="202"/>
    <d v="2024-01-12T00:00:00"/>
    <n v="2"/>
    <x v="4"/>
    <x v="26"/>
    <n v="5457.97"/>
    <n v="0.8"/>
    <n v="4366.3760000000002"/>
    <n v="1091.5940000000001"/>
    <x v="0"/>
    <m/>
  </r>
  <r>
    <s v="PAT-3241"/>
    <s v="Donna Jones"/>
    <n v="42"/>
    <x v="2"/>
    <x v="1"/>
    <x v="203"/>
    <d v="2024-08-30T00:00:00"/>
    <n v="12"/>
    <x v="4"/>
    <x v="13"/>
    <n v="15047.59"/>
    <n v="0.8"/>
    <n v="12038.072"/>
    <n v="3009.518"/>
    <x v="0"/>
    <m/>
  </r>
  <r>
    <s v="PAT-3242"/>
    <s v="Susan Brown"/>
    <n v="16"/>
    <x v="5"/>
    <x v="1"/>
    <x v="100"/>
    <d v="2024-12-06T00:00:00"/>
    <n v="2"/>
    <x v="3"/>
    <x v="37"/>
    <n v="2737.97"/>
    <n v="0.9"/>
    <n v="2464.1729999999998"/>
    <n v="273.79700000000003"/>
    <x v="0"/>
    <m/>
  </r>
  <r>
    <s v="PAT-3243"/>
    <s v="Thomas Miller"/>
    <n v="58"/>
    <x v="0"/>
    <x v="0"/>
    <x v="204"/>
    <d v="2025-01-07T00:00:00"/>
    <n v="14"/>
    <x v="4"/>
    <x v="13"/>
    <n v="19026.97"/>
    <n v="0.8"/>
    <n v="15221.576000000001"/>
    <n v="3805.3940000000002"/>
    <x v="1"/>
    <m/>
  </r>
  <r>
    <s v="PAT-3244"/>
    <s v="Matthew Clark"/>
    <n v="35"/>
    <x v="2"/>
    <x v="0"/>
    <x v="74"/>
    <d v="2024-02-04T00:00:00"/>
    <n v="3"/>
    <x v="1"/>
    <x v="31"/>
    <n v="4955.5"/>
    <n v="0.9"/>
    <n v="4459.95"/>
    <n v="495.55000000000018"/>
    <x v="1"/>
    <m/>
  </r>
  <r>
    <s v="PAT-3245"/>
    <s v="Karen Ramirez"/>
    <n v="58"/>
    <x v="0"/>
    <x v="1"/>
    <x v="205"/>
    <d v="2025-04-12T00:00:00"/>
    <n v="2"/>
    <x v="1"/>
    <x v="36"/>
    <n v="4048.56"/>
    <n v="0.8"/>
    <n v="3238.848"/>
    <n v="809.71199999999999"/>
    <x v="1"/>
    <m/>
  </r>
  <r>
    <s v="PAT-3246"/>
    <s v="Joseph Perez"/>
    <n v="47"/>
    <x v="0"/>
    <x v="0"/>
    <x v="206"/>
    <d v="2025-12-10T00:00:00"/>
    <n v="6"/>
    <x v="2"/>
    <x v="33"/>
    <n v="6918.6"/>
    <n v="0.8"/>
    <n v="5534.880000000001"/>
    <n v="1383.7199999999993"/>
    <x v="0"/>
    <m/>
  </r>
  <r>
    <s v="PAT-3247"/>
    <s v="Elizabeth Jackson"/>
    <n v="8"/>
    <x v="3"/>
    <x v="1"/>
    <x v="204"/>
    <d v="2024-12-27T00:00:00"/>
    <n v="3"/>
    <x v="3"/>
    <x v="23"/>
    <n v="3846.88"/>
    <n v="0.8"/>
    <n v="3077.5040000000004"/>
    <n v="769.37599999999975"/>
    <x v="0"/>
    <m/>
  </r>
  <r>
    <s v="PAT-3248"/>
    <s v="Carol Taylor"/>
    <n v="65"/>
    <x v="1"/>
    <x v="1"/>
    <x v="57"/>
    <d v="2025-05-03T00:00:00"/>
    <n v="4"/>
    <x v="2"/>
    <x v="21"/>
    <n v="3019.93"/>
    <n v="0.7"/>
    <n v="2113.9509999999996"/>
    <n v="905.97900000000027"/>
    <x v="2"/>
    <m/>
  </r>
  <r>
    <s v="PAT-3249"/>
    <s v="Robert Walker"/>
    <n v="4"/>
    <x v="3"/>
    <x v="0"/>
    <x v="207"/>
    <d v="2024-12-02T00:00:00"/>
    <n v="4"/>
    <x v="3"/>
    <x v="25"/>
    <n v="3543.7"/>
    <n v="0.9"/>
    <n v="3189.33"/>
    <n v="354.36999999999989"/>
    <x v="1"/>
    <m/>
  </r>
  <r>
    <s v="PAT-3250"/>
    <s v="Joshua Martin"/>
    <n v="55"/>
    <x v="0"/>
    <x v="0"/>
    <x v="208"/>
    <d v="2025-07-16T00:00:00"/>
    <n v="2"/>
    <x v="4"/>
    <x v="27"/>
    <n v="2354.4899999999998"/>
    <n v="0.6"/>
    <n v="1412.6939999999997"/>
    <n v="941.79600000000005"/>
    <x v="2"/>
    <m/>
  </r>
  <r>
    <s v="PAT-3251"/>
    <s v="Ashley Thomas"/>
    <n v="47"/>
    <x v="0"/>
    <x v="1"/>
    <x v="209"/>
    <d v="2025-09-19T00:00:00"/>
    <n v="3"/>
    <x v="1"/>
    <x v="2"/>
    <n v="4854.92"/>
    <n v="0.7"/>
    <n v="3398.444"/>
    <n v="1456.4760000000001"/>
    <x v="2"/>
    <m/>
  </r>
  <r>
    <s v="PAT-3252"/>
    <s v="Sandra Moore"/>
    <n v="7"/>
    <x v="3"/>
    <x v="1"/>
    <x v="107"/>
    <d v="2024-07-07T00:00:00"/>
    <n v="2"/>
    <x v="3"/>
    <x v="37"/>
    <n v="2341.4499999999998"/>
    <n v="0.9"/>
    <n v="2107.3049999999998"/>
    <n v="234.14499999999998"/>
    <x v="1"/>
    <m/>
  </r>
  <r>
    <s v="PAT-3253"/>
    <s v="Andrew Walker"/>
    <n v="8"/>
    <x v="3"/>
    <x v="0"/>
    <x v="111"/>
    <d v="2024-11-10T00:00:00"/>
    <n v="5"/>
    <x v="3"/>
    <x v="24"/>
    <n v="6634.75"/>
    <n v="1"/>
    <n v="6634.75"/>
    <n v="0"/>
    <x v="1"/>
    <m/>
  </r>
  <r>
    <s v="PAT-3254"/>
    <s v="Linda Hernandez"/>
    <n v="11"/>
    <x v="3"/>
    <x v="1"/>
    <x v="210"/>
    <d v="2025-04-26T00:00:00"/>
    <n v="3"/>
    <x v="3"/>
    <x v="23"/>
    <n v="2307.54"/>
    <n v="0.7"/>
    <n v="1615.2779999999998"/>
    <n v="692.26200000000017"/>
    <x v="1"/>
    <m/>
  </r>
  <r>
    <s v="PAT-3255"/>
    <s v="Mark Clark"/>
    <n v="29"/>
    <x v="2"/>
    <x v="0"/>
    <x v="211"/>
    <d v="2025-11-07T00:00:00"/>
    <n v="5"/>
    <x v="2"/>
    <x v="10"/>
    <n v="6481.41"/>
    <n v="0.6"/>
    <n v="3888.8459999999995"/>
    <n v="2592.5640000000003"/>
    <x v="2"/>
    <m/>
  </r>
  <r>
    <s v="PAT-3256"/>
    <s v="Brian Wilson"/>
    <n v="43"/>
    <x v="2"/>
    <x v="0"/>
    <x v="101"/>
    <d v="2024-01-14T00:00:00"/>
    <n v="9"/>
    <x v="0"/>
    <x v="6"/>
    <n v="14839.54"/>
    <n v="0.7"/>
    <n v="10387.678"/>
    <n v="4451.862000000001"/>
    <x v="2"/>
    <m/>
  </r>
  <r>
    <s v="PAT-3257"/>
    <s v="Emily Thomas"/>
    <n v="31"/>
    <x v="2"/>
    <x v="1"/>
    <x v="212"/>
    <d v="2025-11-26T00:00:00"/>
    <n v="5"/>
    <x v="5"/>
    <x v="17"/>
    <n v="8724.32"/>
    <n v="0.8"/>
    <n v="6979.4560000000001"/>
    <n v="1744.8639999999996"/>
    <x v="1"/>
    <m/>
  </r>
  <r>
    <s v="PAT-3258"/>
    <s v="Sandra Brown"/>
    <n v="74"/>
    <x v="1"/>
    <x v="1"/>
    <x v="213"/>
    <d v="2025-04-23T00:00:00"/>
    <n v="6"/>
    <x v="2"/>
    <x v="4"/>
    <n v="8724.0499999999993"/>
    <n v="0.5"/>
    <n v="4362.0249999999996"/>
    <n v="4362.0249999999996"/>
    <x v="1"/>
    <m/>
  </r>
  <r>
    <s v="PAT-3259"/>
    <s v="Dorothy Harris"/>
    <n v="60"/>
    <x v="0"/>
    <x v="1"/>
    <x v="214"/>
    <d v="2025-03-02T00:00:00"/>
    <n v="7"/>
    <x v="0"/>
    <x v="29"/>
    <n v="12277.2"/>
    <n v="1"/>
    <n v="12277.2"/>
    <n v="0"/>
    <x v="0"/>
    <m/>
  </r>
  <r>
    <s v="PAT-3260"/>
    <s v="Ashley Rodriguez"/>
    <n v="82"/>
    <x v="1"/>
    <x v="1"/>
    <x v="126"/>
    <d v="2024-06-25T00:00:00"/>
    <n v="3"/>
    <x v="1"/>
    <x v="2"/>
    <n v="7304.79"/>
    <n v="0.9"/>
    <n v="6574.3109999999997"/>
    <n v="730.47900000000027"/>
    <x v="0"/>
    <m/>
  </r>
  <r>
    <s v="PAT-3261"/>
    <s v="Dorothy Ramirez"/>
    <n v="44"/>
    <x v="2"/>
    <x v="1"/>
    <x v="27"/>
    <d v="2025-01-28T00:00:00"/>
    <n v="3"/>
    <x v="1"/>
    <x v="7"/>
    <n v="4042.99"/>
    <n v="1"/>
    <n v="4042.99"/>
    <n v="0"/>
    <x v="2"/>
    <m/>
  </r>
  <r>
    <s v="PAT-3262"/>
    <s v="David Rodriguez"/>
    <n v="25"/>
    <x v="2"/>
    <x v="0"/>
    <x v="215"/>
    <d v="2024-04-27T00:00:00"/>
    <n v="3"/>
    <x v="2"/>
    <x v="16"/>
    <n v="2452.73"/>
    <n v="0"/>
    <n v="0"/>
    <n v="2452.73"/>
    <x v="2"/>
    <m/>
  </r>
  <r>
    <s v="PAT-3263"/>
    <s v="Karen Harris"/>
    <n v="15"/>
    <x v="5"/>
    <x v="1"/>
    <x v="216"/>
    <d v="2025-12-21T00:00:00"/>
    <n v="2"/>
    <x v="3"/>
    <x v="25"/>
    <n v="1535.75"/>
    <n v="0.9"/>
    <n v="1382.175"/>
    <n v="153.57500000000005"/>
    <x v="0"/>
    <m/>
  </r>
  <r>
    <s v="PAT-3264"/>
    <s v="Michelle Wilson"/>
    <n v="39"/>
    <x v="2"/>
    <x v="1"/>
    <x v="217"/>
    <d v="2024-10-27T00:00:00"/>
    <n v="1"/>
    <x v="2"/>
    <x v="21"/>
    <n v="600.19000000000005"/>
    <n v="1"/>
    <n v="600.19000000000005"/>
    <n v="0"/>
    <x v="0"/>
    <m/>
  </r>
  <r>
    <s v="PAT-3265"/>
    <s v="Emily Young"/>
    <n v="73"/>
    <x v="1"/>
    <x v="1"/>
    <x v="218"/>
    <d v="2024-08-29T00:00:00"/>
    <n v="2"/>
    <x v="1"/>
    <x v="15"/>
    <n v="2662.2"/>
    <n v="1"/>
    <n v="2662.2"/>
    <n v="0"/>
    <x v="0"/>
    <m/>
  </r>
  <r>
    <s v="PAT-3266"/>
    <s v="William Clark"/>
    <n v="58"/>
    <x v="0"/>
    <x v="0"/>
    <x v="210"/>
    <d v="2025-04-26T00:00:00"/>
    <n v="3"/>
    <x v="1"/>
    <x v="2"/>
    <n v="2947.4"/>
    <n v="0.9"/>
    <n v="2652.6600000000003"/>
    <n v="294.73999999999978"/>
    <x v="0"/>
    <m/>
  </r>
  <r>
    <s v="PAT-3267"/>
    <s v="James Hernandez"/>
    <n v="58"/>
    <x v="0"/>
    <x v="0"/>
    <x v="219"/>
    <d v="2025-06-10T00:00:00"/>
    <n v="3"/>
    <x v="4"/>
    <x v="26"/>
    <n v="6487.43"/>
    <n v="0.8"/>
    <n v="5189.9440000000004"/>
    <n v="1297.4859999999999"/>
    <x v="0"/>
    <m/>
  </r>
  <r>
    <s v="PAT-3268"/>
    <s v="Elizabeth White"/>
    <n v="78"/>
    <x v="1"/>
    <x v="1"/>
    <x v="220"/>
    <d v="2025-07-29T00:00:00"/>
    <n v="4"/>
    <x v="0"/>
    <x v="29"/>
    <n v="5274.8"/>
    <n v="0.8"/>
    <n v="4219.84"/>
    <n v="1054.96"/>
    <x v="0"/>
    <m/>
  </r>
  <r>
    <s v="PAT-3269"/>
    <s v="Matthew Martin"/>
    <n v="56"/>
    <x v="0"/>
    <x v="0"/>
    <x v="221"/>
    <d v="2025-09-25T00:00:00"/>
    <n v="6"/>
    <x v="0"/>
    <x v="0"/>
    <n v="17770.45"/>
    <n v="1"/>
    <n v="17770.45"/>
    <n v="0"/>
    <x v="0"/>
    <m/>
  </r>
  <r>
    <s v="PAT-3270"/>
    <s v="Nancy Garcia"/>
    <n v="50"/>
    <x v="0"/>
    <x v="1"/>
    <x v="77"/>
    <d v="2025-12-12T00:00:00"/>
    <n v="14"/>
    <x v="4"/>
    <x v="26"/>
    <n v="38493.53"/>
    <n v="0"/>
    <n v="0"/>
    <n v="38493.53"/>
    <x v="0"/>
    <m/>
  </r>
  <r>
    <s v="PAT-3271"/>
    <s v="Betty Anderson"/>
    <n v="71"/>
    <x v="1"/>
    <x v="1"/>
    <x v="222"/>
    <d v="2024-03-18T00:00:00"/>
    <n v="3"/>
    <x v="2"/>
    <x v="4"/>
    <n v="3136.05"/>
    <n v="0.9"/>
    <n v="2822.4450000000002"/>
    <n v="313.60500000000002"/>
    <x v="0"/>
    <m/>
  </r>
  <r>
    <s v="PAT-3272"/>
    <s v="Emily Moore"/>
    <n v="41"/>
    <x v="2"/>
    <x v="1"/>
    <x v="223"/>
    <d v="2025-12-18T00:00:00"/>
    <n v="10"/>
    <x v="0"/>
    <x v="19"/>
    <n v="28492.22"/>
    <n v="0.9"/>
    <n v="25642.998000000003"/>
    <n v="2849.2219999999979"/>
    <x v="0"/>
    <m/>
  </r>
  <r>
    <s v="PAT-3273"/>
    <s v="Mark Martinez"/>
    <n v="47"/>
    <x v="0"/>
    <x v="0"/>
    <x v="177"/>
    <d v="2025-02-25T00:00:00"/>
    <n v="8"/>
    <x v="0"/>
    <x v="20"/>
    <n v="11794.68"/>
    <n v="0.7"/>
    <n v="8256.2759999999998"/>
    <n v="3538.4040000000005"/>
    <x v="2"/>
    <m/>
  </r>
  <r>
    <s v="PAT-3274"/>
    <s v="Elizabeth Lewis"/>
    <n v="16"/>
    <x v="5"/>
    <x v="1"/>
    <x v="224"/>
    <d v="2024-12-12T00:00:00"/>
    <n v="4"/>
    <x v="3"/>
    <x v="24"/>
    <n v="5980.76"/>
    <n v="0.8"/>
    <n v="4784.6080000000002"/>
    <n v="1196.152"/>
    <x v="0"/>
    <m/>
  </r>
  <r>
    <s v="PAT-3275"/>
    <s v="Lisa Rodriguez"/>
    <n v="56"/>
    <x v="0"/>
    <x v="1"/>
    <x v="103"/>
    <d v="2025-09-23T00:00:00"/>
    <n v="11"/>
    <x v="5"/>
    <x v="35"/>
    <n v="16835.150000000001"/>
    <n v="1"/>
    <n v="16835.150000000001"/>
    <n v="0"/>
    <x v="0"/>
    <m/>
  </r>
  <r>
    <s v="PAT-3276"/>
    <s v="Elizabeth Walker"/>
    <n v="69"/>
    <x v="1"/>
    <x v="1"/>
    <x v="225"/>
    <d v="2025-10-07T00:00:00"/>
    <n v="4"/>
    <x v="2"/>
    <x v="21"/>
    <n v="2837.18"/>
    <n v="1"/>
    <n v="2837.18"/>
    <n v="0"/>
    <x v="2"/>
    <m/>
  </r>
  <r>
    <s v="PAT-3277"/>
    <s v="Kimberly White"/>
    <n v="39"/>
    <x v="2"/>
    <x v="1"/>
    <x v="80"/>
    <d v="2025-05-08T00:00:00"/>
    <n v="7"/>
    <x v="2"/>
    <x v="5"/>
    <n v="5652.05"/>
    <n v="0"/>
    <n v="0"/>
    <n v="5652.05"/>
    <x v="1"/>
    <m/>
  </r>
  <r>
    <s v="PAT-3278"/>
    <s v="Michelle Hernandez"/>
    <n v="51"/>
    <x v="0"/>
    <x v="1"/>
    <x v="226"/>
    <d v="2024-03-05T00:00:00"/>
    <n v="8"/>
    <x v="0"/>
    <x v="0"/>
    <n v="15284.52"/>
    <n v="0.9"/>
    <n v="13756.068000000001"/>
    <n v="1528.4519999999993"/>
    <x v="0"/>
    <m/>
  </r>
  <r>
    <s v="PAT-3279"/>
    <s v="Michael Moore"/>
    <n v="22"/>
    <x v="2"/>
    <x v="0"/>
    <x v="126"/>
    <d v="2024-06-27T00:00:00"/>
    <n v="5"/>
    <x v="2"/>
    <x v="8"/>
    <n v="6837.91"/>
    <n v="0.8"/>
    <n v="5470.3280000000004"/>
    <n v="1367.5819999999994"/>
    <x v="1"/>
    <m/>
  </r>
  <r>
    <s v="PAT-3280"/>
    <s v="Emily Johnson"/>
    <n v="27"/>
    <x v="2"/>
    <x v="1"/>
    <x v="227"/>
    <d v="2025-07-25T00:00:00"/>
    <n v="10"/>
    <x v="4"/>
    <x v="13"/>
    <n v="16726.009999999998"/>
    <n v="0.8"/>
    <n v="13380.807999999999"/>
    <n v="3345.2019999999993"/>
    <x v="0"/>
    <m/>
  </r>
  <r>
    <s v="PAT-3281"/>
    <s v="Karen Davis"/>
    <n v="85"/>
    <x v="4"/>
    <x v="1"/>
    <x v="228"/>
    <d v="2024-09-18T00:00:00"/>
    <n v="6"/>
    <x v="0"/>
    <x v="20"/>
    <n v="17937.11"/>
    <n v="0.7"/>
    <n v="12555.976999999999"/>
    <n v="5381.1330000000016"/>
    <x v="2"/>
    <m/>
  </r>
  <r>
    <s v="PAT-3282"/>
    <s v="Anthony Wilson"/>
    <n v="33"/>
    <x v="2"/>
    <x v="0"/>
    <x v="111"/>
    <d v="2024-11-19T00:00:00"/>
    <n v="14"/>
    <x v="4"/>
    <x v="27"/>
    <n v="27571.59"/>
    <n v="0.9"/>
    <n v="24814.431"/>
    <n v="2757.1589999999997"/>
    <x v="0"/>
    <m/>
  </r>
  <r>
    <s v="PAT-3283"/>
    <s v="Emily Moore"/>
    <n v="83"/>
    <x v="1"/>
    <x v="1"/>
    <x v="84"/>
    <d v="2024-10-30T00:00:00"/>
    <n v="6"/>
    <x v="0"/>
    <x v="20"/>
    <n v="13621.44"/>
    <n v="0.7"/>
    <n v="9535.0079999999998"/>
    <n v="4086.4320000000007"/>
    <x v="2"/>
    <m/>
  </r>
  <r>
    <s v="PAT-3284"/>
    <s v="Daniel Perez"/>
    <n v="54"/>
    <x v="0"/>
    <x v="0"/>
    <x v="229"/>
    <d v="2024-10-19T00:00:00"/>
    <n v="5"/>
    <x v="5"/>
    <x v="35"/>
    <n v="7553.52"/>
    <n v="0.5"/>
    <n v="3776.76"/>
    <n v="3776.76"/>
    <x v="0"/>
    <m/>
  </r>
  <r>
    <s v="PAT-3285"/>
    <s v="Michelle Harris"/>
    <n v="53"/>
    <x v="0"/>
    <x v="1"/>
    <x v="88"/>
    <d v="2024-11-29T00:00:00"/>
    <n v="13"/>
    <x v="4"/>
    <x v="26"/>
    <n v="34671.78"/>
    <n v="0.6"/>
    <n v="20803.067999999999"/>
    <n v="13868.712"/>
    <x v="0"/>
    <m/>
  </r>
  <r>
    <s v="PAT-3286"/>
    <s v="Robert Johnson"/>
    <n v="81"/>
    <x v="1"/>
    <x v="0"/>
    <x v="230"/>
    <d v="2025-08-04T00:00:00"/>
    <n v="5"/>
    <x v="0"/>
    <x v="20"/>
    <n v="13674.29"/>
    <n v="0.8"/>
    <n v="10939.432000000001"/>
    <n v="2734.8580000000002"/>
    <x v="0"/>
    <m/>
  </r>
  <r>
    <s v="PAT-3287"/>
    <s v="Susan Harris"/>
    <n v="31"/>
    <x v="2"/>
    <x v="1"/>
    <x v="24"/>
    <d v="2025-02-28T00:00:00"/>
    <n v="10"/>
    <x v="5"/>
    <x v="28"/>
    <n v="18872.25"/>
    <n v="1"/>
    <n v="18872.25"/>
    <n v="0"/>
    <x v="0"/>
    <m/>
  </r>
  <r>
    <s v="PAT-3288"/>
    <s v="Mark Jones"/>
    <n v="22"/>
    <x v="2"/>
    <x v="0"/>
    <x v="231"/>
    <d v="2024-12-28T00:00:00"/>
    <n v="6"/>
    <x v="2"/>
    <x v="8"/>
    <n v="8363.1"/>
    <n v="0.6"/>
    <n v="5017.8599999999997"/>
    <n v="3345.2400000000007"/>
    <x v="2"/>
    <m/>
  </r>
  <r>
    <s v="PAT-3289"/>
    <s v="Thomas Young"/>
    <n v="1"/>
    <x v="6"/>
    <x v="0"/>
    <x v="191"/>
    <d v="2025-12-02T00:00:00"/>
    <n v="3"/>
    <x v="3"/>
    <x v="23"/>
    <n v="3886.44"/>
    <n v="0.9"/>
    <n v="3497.7960000000003"/>
    <n v="388.64399999999978"/>
    <x v="0"/>
    <m/>
  </r>
  <r>
    <s v="PAT-3290"/>
    <s v="Joshua Johnson"/>
    <n v="52"/>
    <x v="0"/>
    <x v="0"/>
    <x v="232"/>
    <d v="2025-10-01T00:00:00"/>
    <n v="2"/>
    <x v="2"/>
    <x v="16"/>
    <n v="2780.94"/>
    <n v="0.8"/>
    <n v="2224.752"/>
    <n v="556.1880000000001"/>
    <x v="0"/>
    <m/>
  </r>
  <r>
    <s v="PAT-3291"/>
    <s v="Joshua Clark"/>
    <n v="11"/>
    <x v="3"/>
    <x v="0"/>
    <x v="113"/>
    <d v="2024-04-18T00:00:00"/>
    <n v="1"/>
    <x v="3"/>
    <x v="9"/>
    <n v="1277.56"/>
    <n v="0.7"/>
    <n v="894.29199999999992"/>
    <n v="383.26800000000003"/>
    <x v="1"/>
    <m/>
  </r>
  <r>
    <s v="PAT-3292"/>
    <s v="Kimberly Rodriguez"/>
    <n v="6"/>
    <x v="3"/>
    <x v="1"/>
    <x v="233"/>
    <d v="2024-02-24T00:00:00"/>
    <n v="3"/>
    <x v="3"/>
    <x v="25"/>
    <n v="2921.29"/>
    <n v="0.5"/>
    <n v="1460.645"/>
    <n v="1460.645"/>
    <x v="2"/>
    <m/>
  </r>
  <r>
    <s v="PAT-3293"/>
    <s v="Nancy Johnson"/>
    <n v="74"/>
    <x v="1"/>
    <x v="1"/>
    <x v="234"/>
    <d v="2024-07-16T00:00:00"/>
    <n v="3"/>
    <x v="1"/>
    <x v="3"/>
    <n v="4516.54"/>
    <n v="0.7"/>
    <n v="3161.578"/>
    <n v="1354.962"/>
    <x v="1"/>
    <m/>
  </r>
  <r>
    <s v="PAT-3294"/>
    <s v="Michelle Martin"/>
    <n v="37"/>
    <x v="2"/>
    <x v="1"/>
    <x v="54"/>
    <d v="2024-04-03T00:00:00"/>
    <n v="13"/>
    <x v="4"/>
    <x v="26"/>
    <n v="15943.22"/>
    <n v="0.8"/>
    <n v="12754.576000000001"/>
    <n v="3188.6439999999984"/>
    <x v="0"/>
    <m/>
  </r>
  <r>
    <s v="PAT-3295"/>
    <s v="Michelle Lee"/>
    <n v="84"/>
    <x v="1"/>
    <x v="1"/>
    <x v="235"/>
    <d v="2024-06-03T00:00:00"/>
    <n v="3"/>
    <x v="0"/>
    <x v="1"/>
    <n v="6113"/>
    <n v="0.8"/>
    <n v="4890.4000000000005"/>
    <n v="1222.5999999999995"/>
    <x v="0"/>
    <m/>
  </r>
  <r>
    <s v="PAT-3296"/>
    <s v="Richard Young"/>
    <n v="70"/>
    <x v="1"/>
    <x v="0"/>
    <x v="236"/>
    <d v="2024-08-06T00:00:00"/>
    <n v="3"/>
    <x v="1"/>
    <x v="7"/>
    <n v="4356.16"/>
    <n v="0"/>
    <n v="0"/>
    <n v="4356.16"/>
    <x v="0"/>
    <m/>
  </r>
  <r>
    <s v="PAT-3297"/>
    <s v="Thomas Walker"/>
    <n v="18"/>
    <x v="2"/>
    <x v="0"/>
    <x v="237"/>
    <d v="2025-05-20T00:00:00"/>
    <n v="3"/>
    <x v="1"/>
    <x v="2"/>
    <n v="2810.17"/>
    <n v="0.9"/>
    <n v="2529.1530000000002"/>
    <n v="281.01699999999983"/>
    <x v="0"/>
    <m/>
  </r>
  <r>
    <s v="PAT-3298"/>
    <s v="Kimberly Smith"/>
    <n v="41"/>
    <x v="2"/>
    <x v="1"/>
    <x v="238"/>
    <d v="2024-09-28T00:00:00"/>
    <n v="4"/>
    <x v="2"/>
    <x v="16"/>
    <n v="3049.69"/>
    <n v="0.6"/>
    <n v="1829.8140000000001"/>
    <n v="1219.876"/>
    <x v="0"/>
    <m/>
  </r>
  <r>
    <s v="PAT-3299"/>
    <s v="Betty Robinson"/>
    <n v="70"/>
    <x v="1"/>
    <x v="1"/>
    <x v="239"/>
    <d v="2025-04-19T00:00:00"/>
    <n v="3"/>
    <x v="2"/>
    <x v="16"/>
    <n v="2096.4899999999998"/>
    <n v="0.6"/>
    <n v="1257.8939999999998"/>
    <n v="838.596"/>
    <x v="1"/>
    <m/>
  </r>
  <r>
    <s v="PAT-3300"/>
    <s v="Elizabeth Brown"/>
    <n v="44"/>
    <x v="2"/>
    <x v="1"/>
    <x v="41"/>
    <d v="2025-09-10T00:00:00"/>
    <n v="5"/>
    <x v="4"/>
    <x v="18"/>
    <n v="12341.99"/>
    <n v="0.7"/>
    <n v="8639.393"/>
    <n v="3702.5969999999998"/>
    <x v="0"/>
    <m/>
  </r>
  <r>
    <s v="PAT-3301"/>
    <s v="Anthony Garcia"/>
    <n v="31"/>
    <x v="2"/>
    <x v="0"/>
    <x v="240"/>
    <d v="2025-08-16T00:00:00"/>
    <n v="3"/>
    <x v="1"/>
    <x v="36"/>
    <n v="3445.79"/>
    <n v="0.9"/>
    <n v="3101.2110000000002"/>
    <n v="344.57899999999972"/>
    <x v="0"/>
    <m/>
  </r>
  <r>
    <s v="PAT-3302"/>
    <s v="Barbara Davis"/>
    <n v="68"/>
    <x v="1"/>
    <x v="1"/>
    <x v="241"/>
    <d v="2024-04-16T00:00:00"/>
    <n v="3"/>
    <x v="0"/>
    <x v="20"/>
    <n v="4176.93"/>
    <n v="0"/>
    <n v="0"/>
    <n v="4176.93"/>
    <x v="0"/>
    <m/>
  </r>
  <r>
    <s v="PAT-3303"/>
    <s v="William Rodriguez"/>
    <n v="50"/>
    <x v="0"/>
    <x v="0"/>
    <x v="242"/>
    <d v="2026-01-02T00:00:00"/>
    <n v="5"/>
    <x v="0"/>
    <x v="19"/>
    <n v="10022.5"/>
    <n v="0.7"/>
    <n v="7015.75"/>
    <n v="3006.75"/>
    <x v="1"/>
    <m/>
  </r>
  <r>
    <s v="PAT-3304"/>
    <s v="Robert Lee"/>
    <n v="57"/>
    <x v="0"/>
    <x v="0"/>
    <x v="243"/>
    <d v="2024-02-27T00:00:00"/>
    <n v="7"/>
    <x v="5"/>
    <x v="28"/>
    <n v="13346.03"/>
    <n v="0.6"/>
    <n v="8007.6180000000004"/>
    <n v="5338.4120000000003"/>
    <x v="0"/>
    <m/>
  </r>
  <r>
    <s v="PAT-3305"/>
    <s v="Karen Williams"/>
    <n v="67"/>
    <x v="1"/>
    <x v="1"/>
    <x v="103"/>
    <d v="2025-09-18T00:00:00"/>
    <n v="6"/>
    <x v="4"/>
    <x v="18"/>
    <n v="12949.84"/>
    <n v="0.8"/>
    <n v="10359.872000000001"/>
    <n v="2589.9679999999989"/>
    <x v="0"/>
    <m/>
  </r>
  <r>
    <s v="PAT-3306"/>
    <s v="Barbara Clark"/>
    <n v="76"/>
    <x v="1"/>
    <x v="1"/>
    <x v="244"/>
    <d v="2025-03-31T00:00:00"/>
    <n v="3"/>
    <x v="5"/>
    <x v="12"/>
    <n v="5780.36"/>
    <n v="0.9"/>
    <n v="5202.3239999999996"/>
    <n v="578.03600000000006"/>
    <x v="2"/>
    <m/>
  </r>
  <r>
    <s v="PAT-3307"/>
    <s v="Matthew Anderson"/>
    <n v="25"/>
    <x v="2"/>
    <x v="0"/>
    <x v="245"/>
    <d v="2025-10-07T00:00:00"/>
    <n v="9"/>
    <x v="4"/>
    <x v="18"/>
    <n v="12079.5"/>
    <n v="0.6"/>
    <n v="7247.7"/>
    <n v="4831.8"/>
    <x v="1"/>
    <m/>
  </r>
  <r>
    <s v="PAT-3308"/>
    <s v="Joseph Moore"/>
    <n v="40"/>
    <x v="2"/>
    <x v="0"/>
    <x v="246"/>
    <d v="2024-11-26T00:00:00"/>
    <n v="7"/>
    <x v="2"/>
    <x v="10"/>
    <n v="7389.52"/>
    <n v="0.8"/>
    <n v="5911.6160000000009"/>
    <n v="1477.9039999999995"/>
    <x v="1"/>
    <m/>
  </r>
  <r>
    <s v="PAT-3309"/>
    <s v="David Thomas"/>
    <n v="78"/>
    <x v="1"/>
    <x v="0"/>
    <x v="247"/>
    <d v="2025-08-22T00:00:00"/>
    <n v="3"/>
    <x v="0"/>
    <x v="0"/>
    <n v="5108.6400000000003"/>
    <n v="0.6"/>
    <n v="3065.1840000000002"/>
    <n v="2043.4560000000001"/>
    <x v="1"/>
    <m/>
  </r>
  <r>
    <s v="PAT-3310"/>
    <s v="Daniel Johnson"/>
    <n v="30"/>
    <x v="2"/>
    <x v="0"/>
    <x v="64"/>
    <d v="2024-05-26T00:00:00"/>
    <n v="2"/>
    <x v="1"/>
    <x v="7"/>
    <n v="3176.54"/>
    <n v="0.8"/>
    <n v="2541.232"/>
    <n v="635.30799999999999"/>
    <x v="0"/>
    <m/>
  </r>
  <r>
    <s v="PAT-3311"/>
    <s v="Anthony Johnson"/>
    <n v="54"/>
    <x v="0"/>
    <x v="0"/>
    <x v="248"/>
    <d v="2024-09-17T00:00:00"/>
    <n v="8"/>
    <x v="4"/>
    <x v="26"/>
    <n v="17049.400000000001"/>
    <n v="1"/>
    <n v="17049.400000000001"/>
    <n v="0"/>
    <x v="2"/>
    <m/>
  </r>
  <r>
    <s v="PAT-3312"/>
    <s v="Carol Brown"/>
    <n v="67"/>
    <x v="1"/>
    <x v="1"/>
    <x v="69"/>
    <d v="2025-11-09T00:00:00"/>
    <n v="1"/>
    <x v="1"/>
    <x v="36"/>
    <n v="1997.86"/>
    <n v="0.7"/>
    <n v="1398.502"/>
    <n v="599.35799999999995"/>
    <x v="0"/>
    <m/>
  </r>
  <r>
    <s v="PAT-3313"/>
    <s v="Mark Brown"/>
    <n v="43"/>
    <x v="2"/>
    <x v="0"/>
    <x v="249"/>
    <d v="2024-08-19T00:00:00"/>
    <n v="4"/>
    <x v="2"/>
    <x v="8"/>
    <n v="4991.59"/>
    <n v="0"/>
    <n v="0"/>
    <n v="4991.59"/>
    <x v="2"/>
    <m/>
  </r>
  <r>
    <s v="PAT-3314"/>
    <s v="Elizabeth Taylor"/>
    <n v="70"/>
    <x v="1"/>
    <x v="1"/>
    <x v="13"/>
    <d v="2024-08-29T00:00:00"/>
    <n v="9"/>
    <x v="5"/>
    <x v="28"/>
    <n v="17095.62"/>
    <n v="0.9"/>
    <n v="15386.057999999999"/>
    <n v="1709.5619999999999"/>
    <x v="0"/>
    <m/>
  </r>
  <r>
    <s v="PAT-3315"/>
    <s v="Brian Lewis"/>
    <n v="64"/>
    <x v="0"/>
    <x v="0"/>
    <x v="250"/>
    <d v="2025-08-20T00:00:00"/>
    <n v="2"/>
    <x v="1"/>
    <x v="31"/>
    <n v="4730.04"/>
    <n v="0.8"/>
    <n v="3784.0320000000002"/>
    <n v="946.00799999999981"/>
    <x v="0"/>
    <m/>
  </r>
  <r>
    <s v="PAT-3316"/>
    <s v="Joseph Perez"/>
    <n v="56"/>
    <x v="0"/>
    <x v="0"/>
    <x v="238"/>
    <d v="2024-10-01T00:00:00"/>
    <n v="7"/>
    <x v="2"/>
    <x v="4"/>
    <n v="10303.59"/>
    <n v="0.7"/>
    <n v="7212.5129999999999"/>
    <n v="3091.0770000000002"/>
    <x v="1"/>
    <m/>
  </r>
  <r>
    <s v="PAT-3317"/>
    <s v="Anthony Walker"/>
    <n v="56"/>
    <x v="0"/>
    <x v="0"/>
    <x v="251"/>
    <d v="2024-06-10T00:00:00"/>
    <n v="6"/>
    <x v="2"/>
    <x v="21"/>
    <n v="7120.81"/>
    <n v="0.8"/>
    <n v="5696.648000000001"/>
    <n v="1424.1619999999994"/>
    <x v="2"/>
    <m/>
  </r>
  <r>
    <s v="PAT-3318"/>
    <s v="Brian Lewis"/>
    <n v="38"/>
    <x v="2"/>
    <x v="0"/>
    <x v="252"/>
    <d v="2025-07-13T00:00:00"/>
    <n v="1"/>
    <x v="1"/>
    <x v="7"/>
    <n v="1418.29"/>
    <n v="0.8"/>
    <n v="1134.6320000000001"/>
    <n v="283.6579999999999"/>
    <x v="0"/>
    <m/>
  </r>
  <r>
    <s v="PAT-3319"/>
    <s v="Brian Ramirez"/>
    <n v="77"/>
    <x v="1"/>
    <x v="0"/>
    <x v="59"/>
    <d v="2024-04-26T00:00:00"/>
    <n v="3"/>
    <x v="1"/>
    <x v="32"/>
    <n v="4818.3999999999996"/>
    <n v="0.6"/>
    <n v="2891.0399999999995"/>
    <n v="1927.3600000000001"/>
    <x v="0"/>
    <m/>
  </r>
  <r>
    <s v="PAT-3320"/>
    <s v="James Wilson"/>
    <n v="51"/>
    <x v="0"/>
    <x v="0"/>
    <x v="233"/>
    <d v="2024-02-22T00:00:00"/>
    <n v="1"/>
    <x v="1"/>
    <x v="2"/>
    <n v="1333.29"/>
    <n v="0.7"/>
    <n v="933.30299999999988"/>
    <n v="399.98700000000008"/>
    <x v="0"/>
    <m/>
  </r>
  <r>
    <s v="PAT-3321"/>
    <s v="Ashley Jackson"/>
    <n v="34"/>
    <x v="2"/>
    <x v="1"/>
    <x v="253"/>
    <d v="2025-03-28T00:00:00"/>
    <n v="1"/>
    <x v="1"/>
    <x v="32"/>
    <n v="1437.43"/>
    <n v="1"/>
    <n v="1437.43"/>
    <n v="0"/>
    <x v="0"/>
    <m/>
  </r>
  <r>
    <s v="PAT-3322"/>
    <s v="James Thomas"/>
    <n v="64"/>
    <x v="0"/>
    <x v="0"/>
    <x v="254"/>
    <d v="2025-06-14T00:00:00"/>
    <n v="3"/>
    <x v="2"/>
    <x v="16"/>
    <n v="2608.29"/>
    <n v="0"/>
    <n v="0"/>
    <n v="2608.29"/>
    <x v="0"/>
    <m/>
  </r>
  <r>
    <s v="PAT-3323"/>
    <s v="Susan Lee"/>
    <n v="8"/>
    <x v="3"/>
    <x v="1"/>
    <x v="255"/>
    <d v="2024-05-18T00:00:00"/>
    <n v="4"/>
    <x v="3"/>
    <x v="25"/>
    <n v="6107.32"/>
    <n v="0.8"/>
    <n v="4885.8559999999998"/>
    <n v="1221.4639999999999"/>
    <x v="0"/>
    <m/>
  </r>
  <r>
    <s v="PAT-3324"/>
    <s v="Betty Jones"/>
    <n v="5"/>
    <x v="3"/>
    <x v="1"/>
    <x v="256"/>
    <d v="2024-03-09T00:00:00"/>
    <n v="1"/>
    <x v="3"/>
    <x v="23"/>
    <n v="763.74"/>
    <n v="0.9"/>
    <n v="687.36599999999999"/>
    <n v="76.374000000000024"/>
    <x v="1"/>
    <m/>
  </r>
  <r>
    <s v="PAT-3325"/>
    <s v="Lisa Martinez"/>
    <n v="3"/>
    <x v="3"/>
    <x v="1"/>
    <x v="257"/>
    <d v="2025-06-30T00:00:00"/>
    <n v="5"/>
    <x v="3"/>
    <x v="24"/>
    <n v="8208.35"/>
    <n v="0"/>
    <n v="0"/>
    <n v="8208.35"/>
    <x v="2"/>
    <m/>
  </r>
  <r>
    <s v="PAT-3326"/>
    <s v="Ashley Martin"/>
    <n v="26"/>
    <x v="2"/>
    <x v="1"/>
    <x v="258"/>
    <d v="2024-07-25T00:00:00"/>
    <n v="14"/>
    <x v="4"/>
    <x v="26"/>
    <n v="20575.84"/>
    <n v="0.8"/>
    <n v="16460.672000000002"/>
    <n v="4115.1679999999978"/>
    <x v="1"/>
    <m/>
  </r>
  <r>
    <s v="PAT-3327"/>
    <s v="Kevin Lopez"/>
    <n v="1"/>
    <x v="6"/>
    <x v="0"/>
    <x v="220"/>
    <d v="2025-07-28T00:00:00"/>
    <n v="3"/>
    <x v="3"/>
    <x v="22"/>
    <n v="5295.19"/>
    <n v="0.9"/>
    <n v="4765.6709999999994"/>
    <n v="529.51900000000023"/>
    <x v="0"/>
    <m/>
  </r>
  <r>
    <s v="PAT-3328"/>
    <s v="Betty Harris"/>
    <n v="35"/>
    <x v="2"/>
    <x v="1"/>
    <x v="259"/>
    <d v="2025-11-21T00:00:00"/>
    <n v="9"/>
    <x v="4"/>
    <x v="13"/>
    <n v="23024.560000000001"/>
    <n v="0.7"/>
    <n v="16117.191999999999"/>
    <n v="6907.3680000000022"/>
    <x v="1"/>
    <m/>
  </r>
  <r>
    <s v="PAT-3329"/>
    <s v="Linda Jackson"/>
    <n v="33"/>
    <x v="2"/>
    <x v="1"/>
    <x v="55"/>
    <d v="2025-05-08T00:00:00"/>
    <n v="3"/>
    <x v="1"/>
    <x v="36"/>
    <n v="7452.68"/>
    <n v="0.7"/>
    <n v="5216.8760000000002"/>
    <n v="2235.8040000000001"/>
    <x v="0"/>
    <m/>
  </r>
  <r>
    <s v="PAT-3330"/>
    <s v="Matthew Clark"/>
    <n v="80"/>
    <x v="1"/>
    <x v="0"/>
    <x v="260"/>
    <d v="2024-03-11T00:00:00"/>
    <n v="8"/>
    <x v="5"/>
    <x v="34"/>
    <n v="10908.13"/>
    <n v="0.6"/>
    <n v="6544.8779999999997"/>
    <n v="4363.2519999999995"/>
    <x v="0"/>
    <m/>
  </r>
  <r>
    <s v="PAT-3331"/>
    <s v="Christopher Johnson"/>
    <n v="27"/>
    <x v="2"/>
    <x v="0"/>
    <x v="59"/>
    <d v="2024-04-29T00:00:00"/>
    <n v="6"/>
    <x v="2"/>
    <x v="21"/>
    <n v="7501.37"/>
    <n v="0.7"/>
    <n v="5250.9589999999998"/>
    <n v="2250.4110000000001"/>
    <x v="2"/>
    <m/>
  </r>
  <r>
    <s v="PAT-3332"/>
    <s v="Sarah Davis"/>
    <n v="61"/>
    <x v="0"/>
    <x v="1"/>
    <x v="58"/>
    <d v="2025-04-25T00:00:00"/>
    <n v="1"/>
    <x v="1"/>
    <x v="36"/>
    <n v="1264.69"/>
    <n v="0.9"/>
    <n v="1138.221"/>
    <n v="126.46900000000005"/>
    <x v="0"/>
    <m/>
  </r>
  <r>
    <s v="PAT-3333"/>
    <s v="Susan Martin"/>
    <n v="54"/>
    <x v="0"/>
    <x v="1"/>
    <x v="102"/>
    <d v="2024-05-19T00:00:00"/>
    <n v="11"/>
    <x v="4"/>
    <x v="13"/>
    <n v="26730.35"/>
    <n v="0"/>
    <n v="0"/>
    <n v="26730.35"/>
    <x v="1"/>
    <m/>
  </r>
  <r>
    <s v="PAT-3334"/>
    <s v="Michelle Garcia"/>
    <n v="57"/>
    <x v="0"/>
    <x v="1"/>
    <x v="261"/>
    <d v="2025-04-02T00:00:00"/>
    <n v="3"/>
    <x v="5"/>
    <x v="17"/>
    <n v="6655.97"/>
    <n v="0.6"/>
    <n v="3993.5819999999999"/>
    <n v="2662.3880000000004"/>
    <x v="1"/>
    <m/>
  </r>
  <r>
    <s v="PAT-3335"/>
    <s v="Matthew Garcia"/>
    <n v="63"/>
    <x v="0"/>
    <x v="0"/>
    <x v="260"/>
    <d v="2024-03-11T00:00:00"/>
    <n v="8"/>
    <x v="0"/>
    <x v="20"/>
    <n v="11856.84"/>
    <n v="0.7"/>
    <n v="8299.7880000000005"/>
    <n v="3557.0519999999997"/>
    <x v="1"/>
    <m/>
  </r>
  <r>
    <s v="PAT-3336"/>
    <s v="David Clark"/>
    <n v="45"/>
    <x v="0"/>
    <x v="0"/>
    <x v="262"/>
    <d v="2025-04-21T00:00:00"/>
    <n v="1"/>
    <x v="1"/>
    <x v="36"/>
    <n v="1625.38"/>
    <n v="0.8"/>
    <n v="1300.3040000000001"/>
    <n v="325.07600000000002"/>
    <x v="0"/>
    <m/>
  </r>
  <r>
    <s v="PAT-3337"/>
    <s v="Andrew Moore"/>
    <n v="71"/>
    <x v="1"/>
    <x v="0"/>
    <x v="263"/>
    <d v="2025-12-11T00:00:00"/>
    <n v="6"/>
    <x v="0"/>
    <x v="6"/>
    <n v="10880.84"/>
    <n v="0.8"/>
    <n v="8704.6720000000005"/>
    <n v="2176.1679999999997"/>
    <x v="0"/>
    <m/>
  </r>
  <r>
    <s v="PAT-3338"/>
    <s v="Christopher Davis"/>
    <n v="69"/>
    <x v="1"/>
    <x v="0"/>
    <x v="264"/>
    <d v="2025-10-11T00:00:00"/>
    <n v="1"/>
    <x v="2"/>
    <x v="21"/>
    <n v="1151.51"/>
    <n v="0.9"/>
    <n v="1036.3589999999999"/>
    <n v="115.15100000000007"/>
    <x v="1"/>
    <m/>
  </r>
  <r>
    <s v="PAT-3339"/>
    <s v="Elizabeth Harris"/>
    <n v="43"/>
    <x v="2"/>
    <x v="1"/>
    <x v="265"/>
    <d v="2024-05-29T00:00:00"/>
    <n v="7"/>
    <x v="0"/>
    <x v="6"/>
    <n v="13660.38"/>
    <n v="0.5"/>
    <n v="6830.19"/>
    <n v="6830.19"/>
    <x v="1"/>
    <m/>
  </r>
  <r>
    <s v="PAT-3340"/>
    <s v="William Perez"/>
    <n v="21"/>
    <x v="2"/>
    <x v="0"/>
    <x v="266"/>
    <d v="2025-01-19T00:00:00"/>
    <n v="4"/>
    <x v="2"/>
    <x v="21"/>
    <n v="5372.91"/>
    <n v="0.9"/>
    <n v="4835.6189999999997"/>
    <n v="537.29100000000017"/>
    <x v="0"/>
    <m/>
  </r>
  <r>
    <s v="PAT-3341"/>
    <s v="Kenneth Smith"/>
    <n v="16"/>
    <x v="5"/>
    <x v="0"/>
    <x v="267"/>
    <d v="2024-03-09T00:00:00"/>
    <n v="3"/>
    <x v="3"/>
    <x v="37"/>
    <n v="5108.66"/>
    <n v="0.8"/>
    <n v="4086.9279999999999"/>
    <n v="1021.732"/>
    <x v="0"/>
    <m/>
  </r>
  <r>
    <s v="PAT-3342"/>
    <s v="Sarah Robinson"/>
    <n v="72"/>
    <x v="1"/>
    <x v="1"/>
    <x v="80"/>
    <d v="2025-05-04T00:00:00"/>
    <n v="3"/>
    <x v="1"/>
    <x v="32"/>
    <n v="4730.3599999999997"/>
    <n v="0.9"/>
    <n v="4257.3239999999996"/>
    <n v="473.03600000000006"/>
    <x v="0"/>
    <m/>
  </r>
  <r>
    <s v="PAT-3343"/>
    <s v="Jennifer Lopez"/>
    <n v="57"/>
    <x v="0"/>
    <x v="1"/>
    <x v="268"/>
    <d v="2025-01-16T00:00:00"/>
    <n v="3"/>
    <x v="2"/>
    <x v="8"/>
    <n v="4389.91"/>
    <n v="0.8"/>
    <n v="3511.9279999999999"/>
    <n v="877.98199999999997"/>
    <x v="0"/>
    <m/>
  </r>
  <r>
    <s v="PAT-3344"/>
    <s v="Sandra Robinson"/>
    <n v="39"/>
    <x v="2"/>
    <x v="1"/>
    <x v="269"/>
    <d v="2025-09-14T00:00:00"/>
    <n v="8"/>
    <x v="4"/>
    <x v="13"/>
    <n v="8536.89"/>
    <n v="0.8"/>
    <n v="6829.5119999999997"/>
    <n v="1707.3779999999997"/>
    <x v="0"/>
    <m/>
  </r>
  <r>
    <s v="PAT-3345"/>
    <s v="Kimberly White"/>
    <n v="12"/>
    <x v="5"/>
    <x v="1"/>
    <x v="200"/>
    <d v="2024-10-18T00:00:00"/>
    <n v="5"/>
    <x v="3"/>
    <x v="25"/>
    <n v="3347.44"/>
    <n v="0"/>
    <n v="0"/>
    <n v="3347.44"/>
    <x v="2"/>
    <m/>
  </r>
  <r>
    <s v="PAT-3346"/>
    <s v="Susan Jackson"/>
    <n v="57"/>
    <x v="0"/>
    <x v="1"/>
    <x v="270"/>
    <d v="2025-10-13T00:00:00"/>
    <n v="6"/>
    <x v="0"/>
    <x v="29"/>
    <n v="15565.46"/>
    <n v="0.7"/>
    <n v="10895.821999999998"/>
    <n v="4669.6380000000008"/>
    <x v="1"/>
    <m/>
  </r>
  <r>
    <s v="PAT-3347"/>
    <s v="Robert Martin"/>
    <n v="52"/>
    <x v="0"/>
    <x v="0"/>
    <x v="40"/>
    <d v="2025-11-25T00:00:00"/>
    <n v="7"/>
    <x v="2"/>
    <x v="21"/>
    <n v="4507.1400000000003"/>
    <n v="0.8"/>
    <n v="3605.7120000000004"/>
    <n v="901.42799999999988"/>
    <x v="2"/>
    <m/>
  </r>
  <r>
    <s v="PAT-3348"/>
    <s v="Brian Robinson"/>
    <n v="62"/>
    <x v="0"/>
    <x v="0"/>
    <x v="271"/>
    <d v="2025-07-17T00:00:00"/>
    <n v="7"/>
    <x v="0"/>
    <x v="0"/>
    <n v="10788.07"/>
    <n v="0.7"/>
    <n v="7551.6489999999994"/>
    <n v="3236.4210000000003"/>
    <x v="1"/>
    <m/>
  </r>
  <r>
    <s v="PAT-3349"/>
    <s v="Andrew Lewis"/>
    <n v="46"/>
    <x v="0"/>
    <x v="0"/>
    <x v="272"/>
    <d v="2024-05-28T00:00:00"/>
    <n v="9"/>
    <x v="0"/>
    <x v="1"/>
    <n v="26034.080000000002"/>
    <n v="0.8"/>
    <n v="20827.264000000003"/>
    <n v="5206.8159999999989"/>
    <x v="0"/>
    <m/>
  </r>
  <r>
    <s v="PAT-3350"/>
    <s v="Kenneth Taylor"/>
    <n v="44"/>
    <x v="2"/>
    <x v="0"/>
    <x v="273"/>
    <d v="2024-08-29T00:00:00"/>
    <n v="8"/>
    <x v="0"/>
    <x v="20"/>
    <n v="10409.19"/>
    <n v="0.9"/>
    <n v="9368.2710000000006"/>
    <n v="1040.9189999999999"/>
    <x v="2"/>
    <m/>
  </r>
  <r>
    <s v="PAT-3351"/>
    <s v="Jennifer Hernandez"/>
    <n v="62"/>
    <x v="0"/>
    <x v="1"/>
    <x v="274"/>
    <d v="2024-08-03T00:00:00"/>
    <n v="1"/>
    <x v="1"/>
    <x v="36"/>
    <n v="1428.8"/>
    <n v="0.8"/>
    <n v="1143.04"/>
    <n v="285.76"/>
    <x v="1"/>
    <m/>
  </r>
  <r>
    <s v="PAT-3352"/>
    <s v="Sarah Anderson"/>
    <n v="73"/>
    <x v="1"/>
    <x v="1"/>
    <x v="136"/>
    <d v="2025-05-25T00:00:00"/>
    <n v="3"/>
    <x v="1"/>
    <x v="31"/>
    <n v="6491.42"/>
    <n v="0"/>
    <n v="0"/>
    <n v="6491.42"/>
    <x v="2"/>
    <m/>
  </r>
  <r>
    <s v="PAT-3353"/>
    <s v="Mary Martinez"/>
    <n v="80"/>
    <x v="1"/>
    <x v="1"/>
    <x v="275"/>
    <d v="2025-03-23T00:00:00"/>
    <n v="3"/>
    <x v="1"/>
    <x v="32"/>
    <n v="2816.11"/>
    <n v="0.8"/>
    <n v="2252.8880000000004"/>
    <n v="563.22199999999975"/>
    <x v="2"/>
    <m/>
  </r>
  <r>
    <s v="PAT-3354"/>
    <s v="Matthew Clark"/>
    <n v="12"/>
    <x v="5"/>
    <x v="0"/>
    <x v="77"/>
    <d v="2025-12-03T00:00:00"/>
    <n v="5"/>
    <x v="3"/>
    <x v="23"/>
    <n v="6337.74"/>
    <n v="0.6"/>
    <n v="3802.6439999999998"/>
    <n v="2535.096"/>
    <x v="1"/>
    <m/>
  </r>
  <r>
    <s v="PAT-3355"/>
    <s v="Lisa Thomas"/>
    <n v="48"/>
    <x v="0"/>
    <x v="1"/>
    <x v="276"/>
    <d v="2024-04-23T00:00:00"/>
    <n v="7"/>
    <x v="2"/>
    <x v="16"/>
    <n v="8162.88"/>
    <n v="0.6"/>
    <n v="4897.7280000000001"/>
    <n v="3265.152"/>
    <x v="0"/>
    <m/>
  </r>
  <r>
    <s v="PAT-3356"/>
    <s v="Thomas Williams"/>
    <n v="69"/>
    <x v="1"/>
    <x v="0"/>
    <x v="24"/>
    <d v="2025-02-20T00:00:00"/>
    <n v="2"/>
    <x v="2"/>
    <x v="5"/>
    <n v="2495.13"/>
    <n v="0.7"/>
    <n v="1746.5909999999999"/>
    <n v="748.53900000000021"/>
    <x v="0"/>
    <m/>
  </r>
  <r>
    <s v="PAT-3357"/>
    <s v="Ashley Martinez"/>
    <n v="16"/>
    <x v="5"/>
    <x v="1"/>
    <x v="277"/>
    <d v="2024-06-12T00:00:00"/>
    <n v="1"/>
    <x v="3"/>
    <x v="23"/>
    <n v="1054.1400000000001"/>
    <n v="0.5"/>
    <n v="527.07000000000005"/>
    <n v="527.07000000000005"/>
    <x v="1"/>
    <m/>
  </r>
  <r>
    <s v="PAT-3358"/>
    <s v="Mary Ramirez"/>
    <n v="73"/>
    <x v="1"/>
    <x v="1"/>
    <x v="261"/>
    <d v="2025-03-31T00:00:00"/>
    <n v="1"/>
    <x v="1"/>
    <x v="15"/>
    <n v="1251.25"/>
    <n v="0.8"/>
    <n v="1001"/>
    <n v="250.25"/>
    <x v="0"/>
    <m/>
  </r>
  <r>
    <s v="PAT-3359"/>
    <s v="Kenneth Miller"/>
    <n v="53"/>
    <x v="0"/>
    <x v="0"/>
    <x v="275"/>
    <d v="2025-03-26T00:00:00"/>
    <n v="6"/>
    <x v="0"/>
    <x v="20"/>
    <n v="16598.080000000002"/>
    <n v="0.8"/>
    <n v="13278.464000000002"/>
    <n v="3319.616"/>
    <x v="0"/>
    <m/>
  </r>
  <r>
    <s v="PAT-3360"/>
    <s v="Emily Hernandez"/>
    <n v="46"/>
    <x v="0"/>
    <x v="1"/>
    <x v="278"/>
    <d v="2024-10-08T00:00:00"/>
    <n v="4"/>
    <x v="2"/>
    <x v="33"/>
    <n v="4875.57"/>
    <n v="0.9"/>
    <n v="4388.0129999999999"/>
    <n v="487.55699999999979"/>
    <x v="0"/>
    <m/>
  </r>
  <r>
    <s v="PAT-3361"/>
    <s v="Paul Perez"/>
    <n v="53"/>
    <x v="0"/>
    <x v="0"/>
    <x v="279"/>
    <d v="2025-12-07T00:00:00"/>
    <n v="5"/>
    <x v="5"/>
    <x v="34"/>
    <n v="12181.3"/>
    <n v="0.5"/>
    <n v="6090.65"/>
    <n v="6090.65"/>
    <x v="0"/>
    <m/>
  </r>
  <r>
    <s v="PAT-3362"/>
    <s v="James Harris"/>
    <n v="59"/>
    <x v="0"/>
    <x v="0"/>
    <x v="280"/>
    <d v="2025-07-25T00:00:00"/>
    <n v="1"/>
    <x v="1"/>
    <x v="31"/>
    <n v="2262.27"/>
    <n v="1"/>
    <n v="2262.27"/>
    <n v="0"/>
    <x v="0"/>
    <m/>
  </r>
  <r>
    <s v="PAT-3363"/>
    <s v="Kevin Thompson"/>
    <n v="77"/>
    <x v="1"/>
    <x v="0"/>
    <x v="281"/>
    <d v="2025-05-16T00:00:00"/>
    <n v="6"/>
    <x v="5"/>
    <x v="28"/>
    <n v="15249.23"/>
    <n v="0.6"/>
    <n v="9149.5379999999986"/>
    <n v="6099.6920000000009"/>
    <x v="0"/>
    <m/>
  </r>
  <r>
    <s v="PAT-3364"/>
    <s v="Elizabeth Hernandez"/>
    <n v="21"/>
    <x v="2"/>
    <x v="1"/>
    <x v="282"/>
    <d v="2024-02-06T00:00:00"/>
    <n v="3"/>
    <x v="2"/>
    <x v="16"/>
    <n v="3947.95"/>
    <n v="0.8"/>
    <n v="3158.36"/>
    <n v="789.58999999999969"/>
    <x v="0"/>
    <m/>
  </r>
  <r>
    <s v="PAT-3365"/>
    <s v="Anthony White"/>
    <n v="59"/>
    <x v="0"/>
    <x v="0"/>
    <x v="283"/>
    <d v="2024-11-09T00:00:00"/>
    <n v="13"/>
    <x v="4"/>
    <x v="11"/>
    <n v="35549.129999999997"/>
    <n v="1"/>
    <n v="35549.129999999997"/>
    <n v="0"/>
    <x v="1"/>
    <m/>
  </r>
  <r>
    <s v="PAT-3366"/>
    <s v="Richard Lewis"/>
    <n v="2"/>
    <x v="6"/>
    <x v="0"/>
    <x v="284"/>
    <d v="2025-02-08T00:00:00"/>
    <n v="4"/>
    <x v="3"/>
    <x v="23"/>
    <n v="7038.14"/>
    <n v="0.7"/>
    <n v="4926.6980000000003"/>
    <n v="2111.442"/>
    <x v="2"/>
    <m/>
  </r>
  <r>
    <s v="PAT-3367"/>
    <s v="Andrew Williams"/>
    <n v="77"/>
    <x v="1"/>
    <x v="0"/>
    <x v="285"/>
    <d v="2025-11-19T00:00:00"/>
    <n v="9"/>
    <x v="0"/>
    <x v="29"/>
    <n v="14877.84"/>
    <n v="1"/>
    <n v="14877.84"/>
    <n v="0"/>
    <x v="1"/>
    <m/>
  </r>
  <r>
    <s v="PAT-3368"/>
    <s v="James Wilson"/>
    <n v="30"/>
    <x v="2"/>
    <x v="0"/>
    <x v="286"/>
    <d v="2025-07-18T00:00:00"/>
    <n v="11"/>
    <x v="4"/>
    <x v="11"/>
    <n v="14678.51"/>
    <n v="0.6"/>
    <n v="8807.1059999999998"/>
    <n v="5871.4040000000005"/>
    <x v="1"/>
    <m/>
  </r>
  <r>
    <s v="PAT-3369"/>
    <s v="Brian Garcia"/>
    <n v="42"/>
    <x v="2"/>
    <x v="0"/>
    <x v="287"/>
    <d v="2025-12-13T00:00:00"/>
    <n v="2"/>
    <x v="1"/>
    <x v="31"/>
    <n v="3466.32"/>
    <n v="0.7"/>
    <n v="2426.424"/>
    <n v="1039.8960000000002"/>
    <x v="0"/>
    <m/>
  </r>
  <r>
    <s v="PAT-3370"/>
    <s v="Joshua Miller"/>
    <n v="59"/>
    <x v="0"/>
    <x v="0"/>
    <x v="81"/>
    <d v="2024-09-09T00:00:00"/>
    <n v="14"/>
    <x v="4"/>
    <x v="18"/>
    <n v="21123.25"/>
    <n v="0.8"/>
    <n v="16898.600000000002"/>
    <n v="4224.6499999999978"/>
    <x v="0"/>
    <m/>
  </r>
  <r>
    <s v="PAT-3371"/>
    <s v="Robert Smith"/>
    <n v="7"/>
    <x v="3"/>
    <x v="0"/>
    <x v="1"/>
    <d v="2025-03-18T00:00:00"/>
    <n v="5"/>
    <x v="3"/>
    <x v="22"/>
    <n v="5585.79"/>
    <n v="0"/>
    <n v="0"/>
    <n v="5585.79"/>
    <x v="2"/>
    <m/>
  </r>
  <r>
    <s v="PAT-3372"/>
    <s v="Barbara Smith"/>
    <n v="37"/>
    <x v="2"/>
    <x v="1"/>
    <x v="166"/>
    <d v="2024-09-18T00:00:00"/>
    <n v="5"/>
    <x v="2"/>
    <x v="16"/>
    <n v="6953.83"/>
    <n v="0.9"/>
    <n v="6258.4470000000001"/>
    <n v="695.38299999999981"/>
    <x v="1"/>
    <m/>
  </r>
  <r>
    <s v="PAT-3373"/>
    <s v="Sandra Jones"/>
    <n v="33"/>
    <x v="2"/>
    <x v="1"/>
    <x v="76"/>
    <d v="2025-01-03T00:00:00"/>
    <n v="1"/>
    <x v="1"/>
    <x v="7"/>
    <n v="2224.13"/>
    <n v="0.7"/>
    <n v="1556.8910000000001"/>
    <n v="667.23900000000003"/>
    <x v="0"/>
    <m/>
  </r>
  <r>
    <s v="PAT-3374"/>
    <s v="Matthew Anderson"/>
    <n v="76"/>
    <x v="1"/>
    <x v="0"/>
    <x v="288"/>
    <d v="2025-04-27T00:00:00"/>
    <n v="6"/>
    <x v="0"/>
    <x v="6"/>
    <n v="11111.41"/>
    <n v="0.7"/>
    <n v="7777.9869999999992"/>
    <n v="3333.4230000000007"/>
    <x v="0"/>
    <m/>
  </r>
  <r>
    <s v="PAT-3375"/>
    <s v="Andrew Williams"/>
    <n v="31"/>
    <x v="2"/>
    <x v="0"/>
    <x v="228"/>
    <d v="2024-09-19T00:00:00"/>
    <n v="7"/>
    <x v="2"/>
    <x v="8"/>
    <n v="8312.57"/>
    <n v="0.7"/>
    <n v="5818.7989999999991"/>
    <n v="2493.7710000000006"/>
    <x v="0"/>
    <m/>
  </r>
  <r>
    <s v="PAT-3376"/>
    <s v="Richard Young"/>
    <n v="36"/>
    <x v="2"/>
    <x v="0"/>
    <x v="289"/>
    <d v="2024-11-04T00:00:00"/>
    <n v="5"/>
    <x v="2"/>
    <x v="33"/>
    <n v="4633.5"/>
    <n v="0.9"/>
    <n v="4170.1500000000005"/>
    <n v="463.34999999999945"/>
    <x v="0"/>
    <m/>
  </r>
  <r>
    <s v="PAT-3377"/>
    <s v="Betty Young"/>
    <n v="29"/>
    <x v="2"/>
    <x v="1"/>
    <x v="290"/>
    <d v="2024-10-28T00:00:00"/>
    <n v="3"/>
    <x v="4"/>
    <x v="14"/>
    <n v="6028.31"/>
    <n v="0.8"/>
    <n v="4822.6480000000001"/>
    <n v="1205.6620000000003"/>
    <x v="2"/>
    <m/>
  </r>
  <r>
    <s v="PAT-3378"/>
    <s v="James Jackson"/>
    <n v="64"/>
    <x v="0"/>
    <x v="0"/>
    <x v="291"/>
    <d v="2024-04-08T00:00:00"/>
    <n v="5"/>
    <x v="5"/>
    <x v="17"/>
    <n v="6224.81"/>
    <n v="0.7"/>
    <n v="4357.3670000000002"/>
    <n v="1867.4430000000002"/>
    <x v="2"/>
    <m/>
  </r>
  <r>
    <s v="PAT-3379"/>
    <s v="Richard Smith"/>
    <n v="44"/>
    <x v="2"/>
    <x v="0"/>
    <x v="12"/>
    <d v="2024-08-07T00:00:00"/>
    <n v="11"/>
    <x v="4"/>
    <x v="11"/>
    <n v="18959.16"/>
    <n v="0.6"/>
    <n v="11375.495999999999"/>
    <n v="7583.6640000000007"/>
    <x v="0"/>
    <m/>
  </r>
  <r>
    <s v="PAT-3380"/>
    <s v="Carol Robinson"/>
    <n v="77"/>
    <x v="1"/>
    <x v="1"/>
    <x v="292"/>
    <d v="2024-03-29T00:00:00"/>
    <n v="2"/>
    <x v="2"/>
    <x v="4"/>
    <n v="2123.39"/>
    <n v="0.8"/>
    <n v="1698.712"/>
    <n v="424.67799999999988"/>
    <x v="0"/>
    <m/>
  </r>
  <r>
    <s v="PAT-3381"/>
    <s v="Dorothy Hernandez"/>
    <n v="51"/>
    <x v="0"/>
    <x v="1"/>
    <x v="293"/>
    <d v="2024-09-02T00:00:00"/>
    <n v="2"/>
    <x v="4"/>
    <x v="14"/>
    <n v="4043.37"/>
    <n v="1"/>
    <n v="4043.37"/>
    <n v="0"/>
    <x v="0"/>
    <m/>
  </r>
  <r>
    <s v="PAT-3382"/>
    <s v="Steven Martin"/>
    <n v="4"/>
    <x v="3"/>
    <x v="0"/>
    <x v="268"/>
    <d v="2025-01-14T00:00:00"/>
    <n v="1"/>
    <x v="3"/>
    <x v="24"/>
    <n v="843.6"/>
    <n v="0.7"/>
    <n v="590.52"/>
    <n v="253.08000000000004"/>
    <x v="2"/>
    <m/>
  </r>
  <r>
    <s v="PAT-3383"/>
    <s v="Linda Hernandez"/>
    <n v="37"/>
    <x v="2"/>
    <x v="1"/>
    <x v="180"/>
    <d v="2025-12-25T00:00:00"/>
    <n v="4"/>
    <x v="2"/>
    <x v="21"/>
    <n v="2561.88"/>
    <n v="0.7"/>
    <n v="1793.316"/>
    <n v="768.56400000000008"/>
    <x v="0"/>
    <m/>
  </r>
  <r>
    <s v="PAT-3384"/>
    <s v="Sarah Lopez"/>
    <n v="21"/>
    <x v="2"/>
    <x v="1"/>
    <x v="294"/>
    <d v="2024-01-03T00:00:00"/>
    <n v="1"/>
    <x v="1"/>
    <x v="3"/>
    <n v="1511.32"/>
    <n v="0.8"/>
    <n v="1209.056"/>
    <n v="302.2639999999999"/>
    <x v="1"/>
    <m/>
  </r>
  <r>
    <s v="PAT-3385"/>
    <s v="Daniel Anderson"/>
    <n v="55"/>
    <x v="0"/>
    <x v="0"/>
    <x v="295"/>
    <d v="2025-10-14T00:00:00"/>
    <n v="14"/>
    <x v="4"/>
    <x v="11"/>
    <n v="27685.69"/>
    <n v="0.7"/>
    <n v="19379.982999999997"/>
    <n v="8305.7070000000022"/>
    <x v="0"/>
    <m/>
  </r>
  <r>
    <s v="PAT-3386"/>
    <s v="Matthew Martinez"/>
    <n v="24"/>
    <x v="2"/>
    <x v="0"/>
    <x v="217"/>
    <d v="2024-10-30T00:00:00"/>
    <n v="4"/>
    <x v="2"/>
    <x v="16"/>
    <n v="3028.33"/>
    <n v="0.7"/>
    <n v="2119.8309999999997"/>
    <n v="908.49900000000025"/>
    <x v="1"/>
    <m/>
  </r>
  <r>
    <s v="PAT-3387"/>
    <s v="Mark Walker"/>
    <n v="70"/>
    <x v="1"/>
    <x v="0"/>
    <x v="51"/>
    <d v="2025-04-18T00:00:00"/>
    <n v="14"/>
    <x v="4"/>
    <x v="13"/>
    <n v="37544.019999999997"/>
    <n v="0.8"/>
    <n v="30035.216"/>
    <n v="7508.8039999999964"/>
    <x v="0"/>
    <m/>
  </r>
  <r>
    <s v="PAT-3388"/>
    <s v="Christopher Clark"/>
    <n v="32"/>
    <x v="2"/>
    <x v="0"/>
    <x v="296"/>
    <d v="2024-06-08T00:00:00"/>
    <n v="7"/>
    <x v="5"/>
    <x v="28"/>
    <n v="17899.3"/>
    <n v="0.7"/>
    <n v="12529.509999999998"/>
    <n v="5369.7900000000009"/>
    <x v="2"/>
    <m/>
  </r>
  <r>
    <s v="PAT-3389"/>
    <s v="Joseph Lee"/>
    <n v="11"/>
    <x v="3"/>
    <x v="0"/>
    <x v="216"/>
    <d v="2025-12-22T00:00:00"/>
    <n v="3"/>
    <x v="3"/>
    <x v="9"/>
    <n v="5297.21"/>
    <n v="0.8"/>
    <n v="4237.768"/>
    <n v="1059.442"/>
    <x v="0"/>
    <m/>
  </r>
  <r>
    <s v="PAT-3390"/>
    <s v="Steven Wilson"/>
    <n v="46"/>
    <x v="0"/>
    <x v="0"/>
    <x v="297"/>
    <d v="2024-01-22T00:00:00"/>
    <n v="8"/>
    <x v="0"/>
    <x v="19"/>
    <n v="10640.24"/>
    <n v="0"/>
    <n v="0"/>
    <n v="10640.24"/>
    <x v="2"/>
    <m/>
  </r>
  <r>
    <s v="PAT-3391"/>
    <s v="Mary Martin"/>
    <n v="40"/>
    <x v="2"/>
    <x v="1"/>
    <x v="37"/>
    <d v="2024-12-13T00:00:00"/>
    <n v="3"/>
    <x v="5"/>
    <x v="12"/>
    <n v="3660.71"/>
    <n v="0.7"/>
    <n v="2562.4969999999998"/>
    <n v="1098.2130000000002"/>
    <x v="2"/>
    <m/>
  </r>
  <r>
    <s v="PAT-3392"/>
    <s v="Jennifer Harris"/>
    <n v="42"/>
    <x v="2"/>
    <x v="1"/>
    <x v="298"/>
    <d v="2025-10-17T00:00:00"/>
    <n v="6"/>
    <x v="5"/>
    <x v="17"/>
    <n v="10028.68"/>
    <n v="0.8"/>
    <n v="8022.9440000000004"/>
    <n v="2005.7359999999999"/>
    <x v="1"/>
    <m/>
  </r>
  <r>
    <s v="PAT-3393"/>
    <s v="Karen Thompson"/>
    <n v="9"/>
    <x v="3"/>
    <x v="1"/>
    <x v="101"/>
    <d v="2024-01-10T00:00:00"/>
    <n v="5"/>
    <x v="3"/>
    <x v="25"/>
    <n v="7238.61"/>
    <n v="0.5"/>
    <n v="3619.3049999999998"/>
    <n v="3619.3049999999998"/>
    <x v="1"/>
    <m/>
  </r>
  <r>
    <s v="PAT-3394"/>
    <s v="Sarah Harris"/>
    <n v="29"/>
    <x v="2"/>
    <x v="1"/>
    <x v="299"/>
    <d v="2024-01-02T00:00:00"/>
    <n v="1"/>
    <x v="2"/>
    <x v="8"/>
    <n v="969.55"/>
    <n v="0.9"/>
    <n v="872.59500000000003"/>
    <n v="96.954999999999927"/>
    <x v="0"/>
    <m/>
  </r>
  <r>
    <s v="PAT-3395"/>
    <s v="Steven Young"/>
    <n v="63"/>
    <x v="0"/>
    <x v="0"/>
    <x v="12"/>
    <d v="2024-08-06T00:00:00"/>
    <n v="10"/>
    <x v="0"/>
    <x v="1"/>
    <n v="29016.400000000001"/>
    <n v="0.7"/>
    <n v="20311.48"/>
    <n v="8704.9200000000019"/>
    <x v="0"/>
    <m/>
  </r>
  <r>
    <s v="PAT-3396"/>
    <s v="Dorothy Clark"/>
    <n v="15"/>
    <x v="5"/>
    <x v="1"/>
    <x v="300"/>
    <d v="2025-07-23T00:00:00"/>
    <n v="4"/>
    <x v="3"/>
    <x v="22"/>
    <n v="6415.8"/>
    <n v="0.8"/>
    <n v="5132.6400000000003"/>
    <n v="1283.1599999999999"/>
    <x v="0"/>
    <m/>
  </r>
  <r>
    <s v="PAT-3397"/>
    <s v="Anthony Lewis"/>
    <n v="54"/>
    <x v="0"/>
    <x v="0"/>
    <x v="87"/>
    <d v="2024-12-25T00:00:00"/>
    <n v="5"/>
    <x v="0"/>
    <x v="19"/>
    <n v="12816.46"/>
    <n v="0.5"/>
    <n v="6408.23"/>
    <n v="6408.23"/>
    <x v="0"/>
    <m/>
  </r>
  <r>
    <s v="PAT-3398"/>
    <s v="Jennifer Miller"/>
    <n v="77"/>
    <x v="1"/>
    <x v="1"/>
    <x v="301"/>
    <d v="2024-10-20T00:00:00"/>
    <n v="3"/>
    <x v="0"/>
    <x v="29"/>
    <n v="7577.11"/>
    <n v="0.8"/>
    <n v="6061.6880000000001"/>
    <n v="1515.4219999999996"/>
    <x v="0"/>
    <m/>
  </r>
  <r>
    <s v="PAT-3399"/>
    <s v="Robert White"/>
    <n v="35"/>
    <x v="2"/>
    <x v="0"/>
    <x v="302"/>
    <d v="2024-12-16T00:00:00"/>
    <n v="1"/>
    <x v="1"/>
    <x v="31"/>
    <n v="1670.53"/>
    <n v="0.8"/>
    <n v="1336.424"/>
    <n v="334.10599999999999"/>
    <x v="0"/>
    <m/>
  </r>
  <r>
    <s v="PAT-3400"/>
    <s v="Anthony Clark"/>
    <n v="58"/>
    <x v="0"/>
    <x v="0"/>
    <x v="115"/>
    <d v="2024-04-16T00:00:00"/>
    <n v="8"/>
    <x v="4"/>
    <x v="13"/>
    <n v="19956.13"/>
    <n v="1"/>
    <n v="19956.13"/>
    <n v="0"/>
    <x v="0"/>
    <m/>
  </r>
  <r>
    <s v="PAT-3401"/>
    <s v="Steven Thomas"/>
    <n v="73"/>
    <x v="1"/>
    <x v="0"/>
    <x v="303"/>
    <d v="2024-05-31T00:00:00"/>
    <n v="2"/>
    <x v="1"/>
    <x v="15"/>
    <n v="2111.6799999999998"/>
    <n v="0.9"/>
    <n v="1900.5119999999999"/>
    <n v="211.16799999999989"/>
    <x v="0"/>
    <m/>
  </r>
  <r>
    <s v="PAT-3402"/>
    <s v="Elizabeth Martin"/>
    <n v="40"/>
    <x v="2"/>
    <x v="1"/>
    <x v="304"/>
    <d v="2024-02-20T00:00:00"/>
    <n v="6"/>
    <x v="4"/>
    <x v="27"/>
    <n v="9466.9"/>
    <n v="0.7"/>
    <n v="6626.829999999999"/>
    <n v="2840.0700000000006"/>
    <x v="2"/>
    <m/>
  </r>
  <r>
    <s v="PAT-3403"/>
    <s v="Sandra Lopez"/>
    <n v="42"/>
    <x v="2"/>
    <x v="1"/>
    <x v="305"/>
    <d v="2024-01-13T00:00:00"/>
    <n v="10"/>
    <x v="5"/>
    <x v="30"/>
    <n v="20681.509999999998"/>
    <n v="0.9"/>
    <n v="18613.359"/>
    <n v="2068.150999999998"/>
    <x v="0"/>
    <m/>
  </r>
  <r>
    <s v="PAT-3404"/>
    <s v="William Lewis"/>
    <n v="12"/>
    <x v="5"/>
    <x v="0"/>
    <x v="306"/>
    <d v="2025-04-07T00:00:00"/>
    <n v="4"/>
    <x v="3"/>
    <x v="25"/>
    <n v="2556.54"/>
    <n v="1"/>
    <n v="2556.54"/>
    <n v="0"/>
    <x v="0"/>
    <m/>
  </r>
  <r>
    <s v="PAT-3405"/>
    <s v="William Ramirez"/>
    <n v="67"/>
    <x v="1"/>
    <x v="0"/>
    <x v="256"/>
    <d v="2024-03-16T00:00:00"/>
    <n v="8"/>
    <x v="5"/>
    <x v="12"/>
    <n v="20496.009999999998"/>
    <n v="1"/>
    <n v="20496.009999999998"/>
    <n v="0"/>
    <x v="1"/>
    <m/>
  </r>
  <r>
    <s v="PAT-3406"/>
    <s v="Christopher Ramirez"/>
    <n v="1"/>
    <x v="6"/>
    <x v="0"/>
    <x v="59"/>
    <d v="2024-04-24T00:00:00"/>
    <n v="1"/>
    <x v="3"/>
    <x v="9"/>
    <n v="1269.22"/>
    <n v="0.9"/>
    <n v="1142.298"/>
    <n v="126.92200000000003"/>
    <x v="0"/>
    <m/>
  </r>
  <r>
    <s v="PAT-3407"/>
    <s v="Susan Jones"/>
    <n v="74"/>
    <x v="1"/>
    <x v="1"/>
    <x v="307"/>
    <d v="2024-09-01T00:00:00"/>
    <n v="9"/>
    <x v="4"/>
    <x v="11"/>
    <n v="14175.59"/>
    <n v="0.7"/>
    <n v="9922.9129999999986"/>
    <n v="4252.6770000000015"/>
    <x v="2"/>
    <m/>
  </r>
  <r>
    <s v="PAT-3408"/>
    <s v="Michelle Rodriguez"/>
    <n v="36"/>
    <x v="2"/>
    <x v="1"/>
    <x v="286"/>
    <d v="2025-07-09T00:00:00"/>
    <n v="2"/>
    <x v="1"/>
    <x v="36"/>
    <n v="2258.0700000000002"/>
    <n v="0.8"/>
    <n v="1806.4560000000001"/>
    <n v="451.61400000000003"/>
    <x v="0"/>
    <m/>
  </r>
  <r>
    <s v="PAT-3409"/>
    <s v="Michael Lopez"/>
    <n v="53"/>
    <x v="0"/>
    <x v="0"/>
    <x v="308"/>
    <d v="2025-11-20T00:00:00"/>
    <n v="1"/>
    <x v="2"/>
    <x v="21"/>
    <n v="1471.29"/>
    <n v="0.8"/>
    <n v="1177.0319999999999"/>
    <n v="294.25800000000004"/>
    <x v="0"/>
    <m/>
  </r>
  <r>
    <s v="PAT-3410"/>
    <s v="Emily Thompson"/>
    <n v="7"/>
    <x v="3"/>
    <x v="1"/>
    <x v="309"/>
    <d v="2025-04-12T00:00:00"/>
    <n v="4"/>
    <x v="3"/>
    <x v="9"/>
    <n v="4671.33"/>
    <n v="0.7"/>
    <n v="3269.9309999999996"/>
    <n v="1401.3990000000003"/>
    <x v="0"/>
    <m/>
  </r>
  <r>
    <s v="PAT-3411"/>
    <s v="Richard Anderson"/>
    <n v="56"/>
    <x v="0"/>
    <x v="0"/>
    <x v="310"/>
    <d v="2025-12-27T00:00:00"/>
    <n v="3"/>
    <x v="1"/>
    <x v="3"/>
    <n v="3856.57"/>
    <n v="0.7"/>
    <n v="2699.5990000000002"/>
    <n v="1156.971"/>
    <x v="0"/>
    <m/>
  </r>
  <r>
    <s v="PAT-3412"/>
    <s v="Sarah Lopez"/>
    <n v="42"/>
    <x v="2"/>
    <x v="1"/>
    <x v="311"/>
    <d v="2025-11-18T00:00:00"/>
    <n v="9"/>
    <x v="0"/>
    <x v="20"/>
    <n v="22775.06"/>
    <n v="0.8"/>
    <n v="18220.048000000003"/>
    <n v="4555.0119999999988"/>
    <x v="0"/>
    <m/>
  </r>
  <r>
    <s v="PAT-3413"/>
    <s v="Ashley Lee"/>
    <n v="53"/>
    <x v="0"/>
    <x v="1"/>
    <x v="188"/>
    <d v="2024-03-26T00:00:00"/>
    <n v="2"/>
    <x v="1"/>
    <x v="7"/>
    <n v="2542.9899999999998"/>
    <n v="0.6"/>
    <n v="1525.7939999999999"/>
    <n v="1017.1959999999999"/>
    <x v="1"/>
    <m/>
  </r>
  <r>
    <s v="PAT-3414"/>
    <s v="Karen Lewis"/>
    <n v="4"/>
    <x v="3"/>
    <x v="1"/>
    <x v="312"/>
    <d v="2025-07-06T00:00:00"/>
    <n v="4"/>
    <x v="3"/>
    <x v="22"/>
    <n v="7044.38"/>
    <n v="0.9"/>
    <n v="6339.942"/>
    <n v="704.4380000000001"/>
    <x v="0"/>
    <m/>
  </r>
  <r>
    <s v="PAT-3415"/>
    <s v="Betty Ramirez"/>
    <n v="11"/>
    <x v="3"/>
    <x v="1"/>
    <x v="65"/>
    <d v="2025-04-07T00:00:00"/>
    <n v="2"/>
    <x v="3"/>
    <x v="25"/>
    <n v="3402.4"/>
    <n v="0.9"/>
    <n v="3062.1600000000003"/>
    <n v="340.23999999999978"/>
    <x v="0"/>
    <m/>
  </r>
  <r>
    <s v="PAT-3416"/>
    <s v="Elizabeth Garcia"/>
    <n v="62"/>
    <x v="0"/>
    <x v="1"/>
    <x v="143"/>
    <d v="2024-09-10T00:00:00"/>
    <n v="5"/>
    <x v="4"/>
    <x v="27"/>
    <n v="13881.6"/>
    <n v="0.7"/>
    <n v="9717.119999999999"/>
    <n v="4164.4800000000014"/>
    <x v="0"/>
    <m/>
  </r>
  <r>
    <s v="PAT-3417"/>
    <s v="Thomas Anderson"/>
    <n v="29"/>
    <x v="2"/>
    <x v="0"/>
    <x v="70"/>
    <d v="2025-04-03T00:00:00"/>
    <n v="2"/>
    <x v="2"/>
    <x v="33"/>
    <n v="1362.39"/>
    <n v="0.8"/>
    <n v="1089.912"/>
    <n v="272.47800000000007"/>
    <x v="0"/>
    <m/>
  </r>
  <r>
    <s v="PAT-3418"/>
    <s v="Kenneth Lewis"/>
    <n v="2"/>
    <x v="6"/>
    <x v="0"/>
    <x v="313"/>
    <d v="2024-01-11T00:00:00"/>
    <n v="5"/>
    <x v="3"/>
    <x v="25"/>
    <n v="8510.7800000000007"/>
    <n v="0.7"/>
    <n v="5957.5460000000003"/>
    <n v="2553.2340000000004"/>
    <x v="0"/>
    <m/>
  </r>
  <r>
    <s v="PAT-3419"/>
    <s v="Kevin Wilson"/>
    <n v="67"/>
    <x v="1"/>
    <x v="0"/>
    <x v="314"/>
    <d v="2024-10-02T00:00:00"/>
    <n v="3"/>
    <x v="2"/>
    <x v="33"/>
    <n v="2154.9699999999998"/>
    <n v="0.9"/>
    <n v="1939.473"/>
    <n v="215.49699999999984"/>
    <x v="0"/>
    <m/>
  </r>
  <r>
    <s v="PAT-3420"/>
    <s v="Jessica White"/>
    <n v="62"/>
    <x v="0"/>
    <x v="1"/>
    <x v="315"/>
    <d v="2024-05-19T00:00:00"/>
    <n v="3"/>
    <x v="2"/>
    <x v="33"/>
    <n v="1950"/>
    <n v="0.8"/>
    <n v="1560"/>
    <n v="390"/>
    <x v="1"/>
    <m/>
  </r>
  <r>
    <s v="PAT-3421"/>
    <s v="Carol Lewis"/>
    <n v="72"/>
    <x v="1"/>
    <x v="1"/>
    <x v="13"/>
    <d v="2024-08-25T00:00:00"/>
    <n v="5"/>
    <x v="4"/>
    <x v="26"/>
    <n v="5004.03"/>
    <n v="1"/>
    <n v="5004.03"/>
    <n v="0"/>
    <x v="0"/>
    <m/>
  </r>
  <r>
    <s v="PAT-3422"/>
    <s v="Joseph Robinson"/>
    <n v="63"/>
    <x v="0"/>
    <x v="0"/>
    <x v="316"/>
    <d v="2024-04-01T00:00:00"/>
    <n v="7"/>
    <x v="5"/>
    <x v="28"/>
    <n v="7752.04"/>
    <n v="0.9"/>
    <n v="6976.8360000000002"/>
    <n v="775.20399999999972"/>
    <x v="0"/>
    <m/>
  </r>
  <r>
    <s v="PAT-3423"/>
    <s v="David Anderson"/>
    <n v="69"/>
    <x v="1"/>
    <x v="0"/>
    <x v="6"/>
    <d v="2024-02-14T00:00:00"/>
    <n v="5"/>
    <x v="4"/>
    <x v="18"/>
    <n v="6986.97"/>
    <n v="1"/>
    <n v="6986.97"/>
    <n v="0"/>
    <x v="1"/>
    <m/>
  </r>
  <r>
    <s v="PAT-3424"/>
    <s v="William Anderson"/>
    <n v="52"/>
    <x v="0"/>
    <x v="0"/>
    <x v="46"/>
    <d v="2025-11-06T00:00:00"/>
    <n v="1"/>
    <x v="1"/>
    <x v="36"/>
    <n v="1744.21"/>
    <n v="0.8"/>
    <n v="1395.3680000000002"/>
    <n v="348.84199999999987"/>
    <x v="1"/>
    <m/>
  </r>
  <r>
    <s v="PAT-3425"/>
    <s v="Ashley Ramirez"/>
    <n v="28"/>
    <x v="2"/>
    <x v="1"/>
    <x v="317"/>
    <d v="2024-01-29T00:00:00"/>
    <n v="13"/>
    <x v="4"/>
    <x v="27"/>
    <n v="23326.29"/>
    <n v="0.6"/>
    <n v="13995.773999999999"/>
    <n v="9330.5160000000014"/>
    <x v="0"/>
    <m/>
  </r>
  <r>
    <s v="PAT-3426"/>
    <s v="Donna Ramirez"/>
    <n v="51"/>
    <x v="0"/>
    <x v="1"/>
    <x v="318"/>
    <d v="2025-10-02T00:00:00"/>
    <n v="7"/>
    <x v="2"/>
    <x v="5"/>
    <n v="5587.17"/>
    <n v="0.7"/>
    <n v="3911.0189999999998"/>
    <n v="1676.1510000000003"/>
    <x v="1"/>
    <m/>
  </r>
  <r>
    <s v="PAT-3427"/>
    <s v="Emily Walker"/>
    <n v="46"/>
    <x v="0"/>
    <x v="1"/>
    <x v="319"/>
    <d v="2025-06-01T00:00:00"/>
    <n v="13"/>
    <x v="4"/>
    <x v="26"/>
    <n v="19329.240000000002"/>
    <n v="0.8"/>
    <n v="15463.392000000002"/>
    <n v="3865.848"/>
    <x v="0"/>
    <m/>
  </r>
  <r>
    <s v="PAT-3428"/>
    <s v="Matthew Jones"/>
    <n v="46"/>
    <x v="0"/>
    <x v="0"/>
    <x v="197"/>
    <d v="2025-02-22T00:00:00"/>
    <n v="8"/>
    <x v="0"/>
    <x v="0"/>
    <n v="20311.28"/>
    <n v="0"/>
    <n v="0"/>
    <n v="20311.28"/>
    <x v="1"/>
    <m/>
  </r>
  <r>
    <s v="PAT-3429"/>
    <s v="Sandra Harris"/>
    <n v="73"/>
    <x v="1"/>
    <x v="1"/>
    <x v="225"/>
    <d v="2025-10-06T00:00:00"/>
    <n v="3"/>
    <x v="1"/>
    <x v="2"/>
    <n v="2647.99"/>
    <n v="0.8"/>
    <n v="2118.3919999999998"/>
    <n v="529.59799999999996"/>
    <x v="1"/>
    <m/>
  </r>
  <r>
    <s v="PAT-3430"/>
    <s v="Linda Garcia"/>
    <n v="14"/>
    <x v="5"/>
    <x v="1"/>
    <x v="320"/>
    <d v="2025-12-16T00:00:00"/>
    <n v="2"/>
    <x v="3"/>
    <x v="23"/>
    <n v="3396.48"/>
    <n v="0.9"/>
    <n v="3056.8319999999999"/>
    <n v="339.64800000000014"/>
    <x v="0"/>
    <m/>
  </r>
  <r>
    <s v="PAT-3431"/>
    <s v="James Clark"/>
    <n v="82"/>
    <x v="1"/>
    <x v="0"/>
    <x v="321"/>
    <d v="2024-02-26T00:00:00"/>
    <n v="7"/>
    <x v="2"/>
    <x v="16"/>
    <n v="9947.52"/>
    <n v="0.6"/>
    <n v="5968.5119999999997"/>
    <n v="3979.0080000000007"/>
    <x v="1"/>
    <m/>
  </r>
  <r>
    <s v="PAT-3432"/>
    <s v="Lisa Jones"/>
    <n v="11"/>
    <x v="3"/>
    <x v="1"/>
    <x v="123"/>
    <d v="2024-06-17T00:00:00"/>
    <n v="2"/>
    <x v="3"/>
    <x v="24"/>
    <n v="2103.42"/>
    <n v="0.6"/>
    <n v="1262.0519999999999"/>
    <n v="841.36800000000017"/>
    <x v="1"/>
    <m/>
  </r>
  <r>
    <s v="PAT-3433"/>
    <s v="Barbara Martinez"/>
    <n v="41"/>
    <x v="2"/>
    <x v="1"/>
    <x v="322"/>
    <d v="2024-07-13T00:00:00"/>
    <n v="10"/>
    <x v="4"/>
    <x v="18"/>
    <n v="20914.48"/>
    <n v="0.5"/>
    <n v="10457.24"/>
    <n v="10457.24"/>
    <x v="1"/>
    <m/>
  </r>
  <r>
    <s v="PAT-3434"/>
    <s v="James Young"/>
    <n v="57"/>
    <x v="0"/>
    <x v="0"/>
    <x v="323"/>
    <d v="2024-08-17T00:00:00"/>
    <n v="11"/>
    <x v="4"/>
    <x v="18"/>
    <n v="16613.29"/>
    <n v="0.6"/>
    <n v="9967.9740000000002"/>
    <n v="6645.3160000000007"/>
    <x v="2"/>
    <m/>
  </r>
  <r>
    <s v="PAT-3435"/>
    <s v="Sarah Perez"/>
    <n v="62"/>
    <x v="0"/>
    <x v="1"/>
    <x v="324"/>
    <d v="2024-12-18T00:00:00"/>
    <n v="13"/>
    <x v="4"/>
    <x v="26"/>
    <n v="23037.14"/>
    <n v="0.7"/>
    <n v="16125.997999999998"/>
    <n v="6911.1420000000016"/>
    <x v="0"/>
    <m/>
  </r>
  <r>
    <s v="PAT-3436"/>
    <s v="Brian Rodriguez"/>
    <n v="23"/>
    <x v="2"/>
    <x v="0"/>
    <x v="325"/>
    <d v="2024-12-28T00:00:00"/>
    <n v="1"/>
    <x v="2"/>
    <x v="21"/>
    <n v="618.74"/>
    <n v="0.8"/>
    <n v="494.99200000000002"/>
    <n v="123.74799999999999"/>
    <x v="0"/>
    <m/>
  </r>
  <r>
    <s v="PAT-3437"/>
    <s v="Paul Clark"/>
    <n v="42"/>
    <x v="2"/>
    <x v="0"/>
    <x v="20"/>
    <d v="2025-10-25T00:00:00"/>
    <n v="3"/>
    <x v="2"/>
    <x v="5"/>
    <n v="3292.07"/>
    <n v="0.5"/>
    <n v="1646.0350000000001"/>
    <n v="1646.0350000000001"/>
    <x v="0"/>
    <m/>
  </r>
  <r>
    <s v="PAT-3438"/>
    <s v="Robert Lee"/>
    <n v="48"/>
    <x v="0"/>
    <x v="0"/>
    <x v="299"/>
    <d v="2024-01-05T00:00:00"/>
    <n v="4"/>
    <x v="2"/>
    <x v="8"/>
    <n v="5249.64"/>
    <n v="0.9"/>
    <n v="4724.6760000000004"/>
    <n v="524.96399999999994"/>
    <x v="0"/>
    <m/>
  </r>
  <r>
    <s v="PAT-3439"/>
    <s v="Michael Clark"/>
    <n v="71"/>
    <x v="1"/>
    <x v="0"/>
    <x v="326"/>
    <d v="2025-08-21T00:00:00"/>
    <n v="5"/>
    <x v="4"/>
    <x v="14"/>
    <n v="5726.98"/>
    <n v="0.8"/>
    <n v="4581.5839999999998"/>
    <n v="1145.3959999999997"/>
    <x v="0"/>
    <m/>
  </r>
  <r>
    <s v="PAT-3440"/>
    <s v="Andrew Garcia"/>
    <n v="16"/>
    <x v="5"/>
    <x v="0"/>
    <x v="327"/>
    <d v="2024-05-14T00:00:00"/>
    <n v="2"/>
    <x v="3"/>
    <x v="22"/>
    <n v="3417.93"/>
    <n v="1"/>
    <n v="3417.93"/>
    <n v="0"/>
    <x v="0"/>
    <m/>
  </r>
  <r>
    <s v="PAT-3441"/>
    <s v="Linda Davis"/>
    <n v="73"/>
    <x v="1"/>
    <x v="1"/>
    <x v="139"/>
    <d v="2024-09-14T00:00:00"/>
    <n v="7"/>
    <x v="2"/>
    <x v="4"/>
    <n v="4075.7"/>
    <n v="1"/>
    <n v="4075.7"/>
    <n v="0"/>
    <x v="0"/>
    <m/>
  </r>
  <r>
    <s v="PAT-3442"/>
    <s v="Christopher Taylor"/>
    <n v="17"/>
    <x v="5"/>
    <x v="0"/>
    <x v="328"/>
    <d v="2025-02-21T00:00:00"/>
    <n v="2"/>
    <x v="3"/>
    <x v="22"/>
    <n v="1245.26"/>
    <n v="1"/>
    <n v="1245.26"/>
    <n v="0"/>
    <x v="0"/>
    <m/>
  </r>
  <r>
    <s v="PAT-3443"/>
    <s v="Robert Rodriguez"/>
    <n v="49"/>
    <x v="0"/>
    <x v="0"/>
    <x v="134"/>
    <d v="2025-09-05T00:00:00"/>
    <n v="1"/>
    <x v="2"/>
    <x v="16"/>
    <n v="1338.57"/>
    <n v="1"/>
    <n v="1338.57"/>
    <n v="0"/>
    <x v="1"/>
    <m/>
  </r>
  <r>
    <s v="PAT-3444"/>
    <s v="Elizabeth Brown"/>
    <n v="41"/>
    <x v="2"/>
    <x v="1"/>
    <x v="329"/>
    <d v="2025-04-21T00:00:00"/>
    <n v="7"/>
    <x v="5"/>
    <x v="35"/>
    <n v="11778.46"/>
    <n v="0.6"/>
    <n v="7067.0759999999991"/>
    <n v="4711.384"/>
    <x v="2"/>
    <m/>
  </r>
  <r>
    <s v="PAT-3445"/>
    <s v="Kenneth Thomas"/>
    <n v="65"/>
    <x v="1"/>
    <x v="0"/>
    <x v="330"/>
    <d v="2025-01-21T00:00:00"/>
    <n v="3"/>
    <x v="0"/>
    <x v="29"/>
    <n v="6875.63"/>
    <n v="0.7"/>
    <n v="4812.9409999999998"/>
    <n v="2062.6890000000003"/>
    <x v="1"/>
    <m/>
  </r>
  <r>
    <s v="PAT-3446"/>
    <s v="Joseph Walker"/>
    <n v="36"/>
    <x v="2"/>
    <x v="0"/>
    <x v="257"/>
    <d v="2025-06-30T00:00:00"/>
    <n v="5"/>
    <x v="2"/>
    <x v="16"/>
    <n v="4520"/>
    <n v="0.9"/>
    <n v="4068"/>
    <n v="452"/>
    <x v="0"/>
    <m/>
  </r>
  <r>
    <s v="PAT-3447"/>
    <s v="Joseph Martin"/>
    <n v="47"/>
    <x v="0"/>
    <x v="0"/>
    <x v="101"/>
    <d v="2024-01-16T00:00:00"/>
    <n v="11"/>
    <x v="4"/>
    <x v="13"/>
    <n v="11719.07"/>
    <n v="0.8"/>
    <n v="9375.2559999999994"/>
    <n v="2343.8140000000003"/>
    <x v="0"/>
    <m/>
  </r>
  <r>
    <s v="PAT-3448"/>
    <s v="Susan Thompson"/>
    <n v="74"/>
    <x v="1"/>
    <x v="1"/>
    <x v="331"/>
    <d v="2025-07-19T00:00:00"/>
    <n v="11"/>
    <x v="5"/>
    <x v="34"/>
    <n v="13712.17"/>
    <n v="0.8"/>
    <n v="10969.736000000001"/>
    <n v="2742.4339999999993"/>
    <x v="0"/>
    <m/>
  </r>
  <r>
    <s v="PAT-3449"/>
    <s v="Kevin Lewis"/>
    <n v="73"/>
    <x v="1"/>
    <x v="0"/>
    <x v="143"/>
    <d v="2024-09-06T00:00:00"/>
    <n v="1"/>
    <x v="1"/>
    <x v="31"/>
    <n v="2492.86"/>
    <n v="1"/>
    <n v="2492.86"/>
    <n v="0"/>
    <x v="0"/>
    <m/>
  </r>
  <r>
    <s v="PAT-3450"/>
    <s v="Thomas Hernandez"/>
    <n v="19"/>
    <x v="2"/>
    <x v="0"/>
    <x v="332"/>
    <d v="2025-06-25T00:00:00"/>
    <n v="1"/>
    <x v="1"/>
    <x v="3"/>
    <n v="1867.11"/>
    <n v="0.8"/>
    <n v="1493.6880000000001"/>
    <n v="373.4219999999998"/>
    <x v="0"/>
    <m/>
  </r>
  <r>
    <s v="PAT-3451"/>
    <s v="Daniel Perez"/>
    <n v="68"/>
    <x v="1"/>
    <x v="0"/>
    <x v="333"/>
    <d v="2024-07-16T00:00:00"/>
    <n v="7"/>
    <x v="0"/>
    <x v="0"/>
    <n v="9821.73"/>
    <n v="0.8"/>
    <n v="7857.384"/>
    <n v="1964.3459999999995"/>
    <x v="0"/>
    <m/>
  </r>
  <r>
    <s v="PAT-3452"/>
    <s v="Kimberly Robinson"/>
    <n v="46"/>
    <x v="0"/>
    <x v="1"/>
    <x v="133"/>
    <d v="2024-04-07T00:00:00"/>
    <n v="7"/>
    <x v="5"/>
    <x v="12"/>
    <n v="9183.36"/>
    <n v="0"/>
    <n v="0"/>
    <n v="9183.36"/>
    <x v="1"/>
    <m/>
  </r>
  <r>
    <s v="PAT-3453"/>
    <s v="Richard Moore"/>
    <n v="59"/>
    <x v="0"/>
    <x v="0"/>
    <x v="334"/>
    <d v="2025-01-25T00:00:00"/>
    <n v="2"/>
    <x v="2"/>
    <x v="16"/>
    <n v="1293.94"/>
    <n v="1"/>
    <n v="1293.94"/>
    <n v="0"/>
    <x v="0"/>
    <m/>
  </r>
  <r>
    <s v="PAT-3454"/>
    <s v="Carol Taylor"/>
    <n v="48"/>
    <x v="0"/>
    <x v="1"/>
    <x v="68"/>
    <d v="2024-10-30T00:00:00"/>
    <n v="9"/>
    <x v="0"/>
    <x v="29"/>
    <n v="23400.73"/>
    <n v="1"/>
    <n v="23400.73"/>
    <n v="0"/>
    <x v="0"/>
    <m/>
  </r>
  <r>
    <s v="PAT-3455"/>
    <s v="Donna Lewis"/>
    <n v="68"/>
    <x v="1"/>
    <x v="1"/>
    <x v="46"/>
    <d v="2025-11-10T00:00:00"/>
    <n v="5"/>
    <x v="2"/>
    <x v="4"/>
    <n v="5575.83"/>
    <n v="0.7"/>
    <n v="3903.0809999999997"/>
    <n v="1672.7490000000003"/>
    <x v="0"/>
    <m/>
  </r>
  <r>
    <s v="PAT-3456"/>
    <s v="Mary Garcia"/>
    <n v="22"/>
    <x v="2"/>
    <x v="1"/>
    <x v="276"/>
    <d v="2024-04-17T00:00:00"/>
    <n v="1"/>
    <x v="2"/>
    <x v="5"/>
    <n v="711.37"/>
    <n v="0.9"/>
    <n v="640.23300000000006"/>
    <n v="71.136999999999944"/>
    <x v="1"/>
    <m/>
  </r>
  <r>
    <s v="PAT-3457"/>
    <s v="Joshua Young"/>
    <n v="55"/>
    <x v="0"/>
    <x v="0"/>
    <x v="335"/>
    <d v="2025-12-26T00:00:00"/>
    <n v="3"/>
    <x v="1"/>
    <x v="32"/>
    <n v="3304.36"/>
    <n v="0.6"/>
    <n v="1982.616"/>
    <n v="1321.7440000000001"/>
    <x v="0"/>
    <m/>
  </r>
  <r>
    <s v="PAT-3458"/>
    <s v="William Anderson"/>
    <n v="48"/>
    <x v="0"/>
    <x v="0"/>
    <x v="260"/>
    <d v="2024-03-11T00:00:00"/>
    <n v="8"/>
    <x v="5"/>
    <x v="34"/>
    <n v="18171.34"/>
    <n v="0.7"/>
    <n v="12719.938"/>
    <n v="5451.402"/>
    <x v="2"/>
    <m/>
  </r>
  <r>
    <s v="PAT-3459"/>
    <s v="Emily Clark"/>
    <n v="49"/>
    <x v="0"/>
    <x v="1"/>
    <x v="336"/>
    <d v="2024-07-09T00:00:00"/>
    <n v="12"/>
    <x v="4"/>
    <x v="27"/>
    <n v="32666.57"/>
    <n v="0.8"/>
    <n v="26133.256000000001"/>
    <n v="6533.3139999999985"/>
    <x v="2"/>
    <m/>
  </r>
  <r>
    <s v="PAT-3460"/>
    <s v="Thomas Young"/>
    <n v="57"/>
    <x v="0"/>
    <x v="0"/>
    <x v="337"/>
    <d v="2024-03-05T00:00:00"/>
    <n v="6"/>
    <x v="2"/>
    <x v="5"/>
    <n v="8770.94"/>
    <n v="0.8"/>
    <n v="7016.7520000000004"/>
    <n v="1754.1880000000001"/>
    <x v="0"/>
    <m/>
  </r>
  <r>
    <s v="PAT-3461"/>
    <s v="Matthew Lee"/>
    <n v="37"/>
    <x v="2"/>
    <x v="0"/>
    <x v="338"/>
    <d v="2025-03-08T00:00:00"/>
    <n v="3"/>
    <x v="5"/>
    <x v="30"/>
    <n v="5722.85"/>
    <n v="0.7"/>
    <n v="4005.9949999999999"/>
    <n v="1716.8550000000005"/>
    <x v="2"/>
    <m/>
  </r>
  <r>
    <s v="PAT-3462"/>
    <s v="Lisa Perez"/>
    <n v="73"/>
    <x v="1"/>
    <x v="1"/>
    <x v="339"/>
    <d v="2024-11-04T00:00:00"/>
    <n v="1"/>
    <x v="1"/>
    <x v="36"/>
    <n v="1228.01"/>
    <n v="0.9"/>
    <n v="1105.2090000000001"/>
    <n v="122.80099999999993"/>
    <x v="0"/>
    <m/>
  </r>
  <r>
    <s v="PAT-3463"/>
    <s v="Linda Thompson"/>
    <n v="78"/>
    <x v="1"/>
    <x v="1"/>
    <x v="340"/>
    <d v="2024-11-17T00:00:00"/>
    <n v="7"/>
    <x v="2"/>
    <x v="8"/>
    <n v="8155.8"/>
    <n v="0.8"/>
    <n v="6524.64"/>
    <n v="1631.1599999999999"/>
    <x v="0"/>
    <m/>
  </r>
  <r>
    <s v="PAT-3464"/>
    <s v="Emily Taylor"/>
    <n v="75"/>
    <x v="1"/>
    <x v="1"/>
    <x v="272"/>
    <d v="2024-05-30T00:00:00"/>
    <n v="11"/>
    <x v="4"/>
    <x v="27"/>
    <n v="21834.98"/>
    <n v="0.8"/>
    <n v="17467.984"/>
    <n v="4366.9959999999992"/>
    <x v="0"/>
    <m/>
  </r>
  <r>
    <s v="PAT-3465"/>
    <s v="Elizabeth Martin"/>
    <n v="51"/>
    <x v="0"/>
    <x v="1"/>
    <x v="341"/>
    <d v="2025-12-22T00:00:00"/>
    <n v="9"/>
    <x v="4"/>
    <x v="18"/>
    <n v="24478.42"/>
    <n v="0.7"/>
    <n v="17134.893999999997"/>
    <n v="7343.5260000000017"/>
    <x v="1"/>
    <m/>
  </r>
  <r>
    <s v="PAT-3466"/>
    <s v="Joshua White"/>
    <n v="24"/>
    <x v="2"/>
    <x v="0"/>
    <x v="81"/>
    <d v="2024-08-30T00:00:00"/>
    <n v="4"/>
    <x v="2"/>
    <x v="8"/>
    <n v="3310.93"/>
    <n v="0.5"/>
    <n v="1655.4649999999999"/>
    <n v="1655.4649999999999"/>
    <x v="0"/>
    <m/>
  </r>
  <r>
    <s v="PAT-3467"/>
    <s v="Sarah Martinez"/>
    <n v="11"/>
    <x v="3"/>
    <x v="1"/>
    <x v="342"/>
    <d v="2024-05-22T00:00:00"/>
    <n v="5"/>
    <x v="3"/>
    <x v="25"/>
    <n v="3615.86"/>
    <n v="0.7"/>
    <n v="2531.1019999999999"/>
    <n v="1084.7580000000003"/>
    <x v="0"/>
    <m/>
  </r>
  <r>
    <s v="PAT-3468"/>
    <s v="Sandra Clark"/>
    <n v="71"/>
    <x v="1"/>
    <x v="1"/>
    <x v="343"/>
    <d v="2025-02-13T00:00:00"/>
    <n v="7"/>
    <x v="0"/>
    <x v="29"/>
    <n v="14885.93"/>
    <n v="0.9"/>
    <n v="13397.337000000001"/>
    <n v="1488.5929999999989"/>
    <x v="0"/>
    <m/>
  </r>
  <r>
    <s v="PAT-3469"/>
    <s v="Ashley Ramirez"/>
    <n v="29"/>
    <x v="2"/>
    <x v="1"/>
    <x v="101"/>
    <d v="2024-01-19T00:00:00"/>
    <n v="14"/>
    <x v="4"/>
    <x v="26"/>
    <n v="21594.51"/>
    <n v="0.6"/>
    <n v="12956.705999999998"/>
    <n v="8637.8040000000001"/>
    <x v="0"/>
    <m/>
  </r>
  <r>
    <s v="PAT-3470"/>
    <s v="William Williams"/>
    <n v="35"/>
    <x v="2"/>
    <x v="0"/>
    <x v="344"/>
    <d v="2025-09-18T00:00:00"/>
    <n v="11"/>
    <x v="4"/>
    <x v="11"/>
    <n v="16660.509999999998"/>
    <n v="0.7"/>
    <n v="11662.356999999998"/>
    <n v="4998.1530000000002"/>
    <x v="1"/>
    <m/>
  </r>
  <r>
    <s v="PAT-3471"/>
    <s v="Susan Perez"/>
    <n v="9"/>
    <x v="3"/>
    <x v="1"/>
    <x v="167"/>
    <d v="2024-03-04T00:00:00"/>
    <n v="3"/>
    <x v="3"/>
    <x v="23"/>
    <n v="5025.87"/>
    <n v="0.8"/>
    <n v="4020.6959999999999"/>
    <n v="1005.174"/>
    <x v="0"/>
    <m/>
  </r>
  <r>
    <s v="PAT-3472"/>
    <s v="Michelle Wilson"/>
    <n v="64"/>
    <x v="0"/>
    <x v="1"/>
    <x v="345"/>
    <d v="2024-05-27T00:00:00"/>
    <n v="2"/>
    <x v="4"/>
    <x v="14"/>
    <n v="3693.42"/>
    <n v="0.9"/>
    <n v="3324.078"/>
    <n v="369.3420000000001"/>
    <x v="0"/>
    <m/>
  </r>
  <r>
    <s v="PAT-3473"/>
    <s v="Andrew Jackson"/>
    <n v="11"/>
    <x v="3"/>
    <x v="0"/>
    <x v="254"/>
    <d v="2025-06-15T00:00:00"/>
    <n v="4"/>
    <x v="3"/>
    <x v="25"/>
    <n v="6070.15"/>
    <n v="0.7"/>
    <n v="4249.1049999999996"/>
    <n v="1821.0450000000001"/>
    <x v="0"/>
    <m/>
  </r>
  <r>
    <s v="PAT-3474"/>
    <s v="Kevin Perez"/>
    <n v="78"/>
    <x v="1"/>
    <x v="0"/>
    <x v="346"/>
    <d v="2025-05-07T00:00:00"/>
    <n v="1"/>
    <x v="2"/>
    <x v="5"/>
    <n v="1488.89"/>
    <n v="0.8"/>
    <n v="1191.1120000000001"/>
    <n v="297.77800000000002"/>
    <x v="0"/>
    <m/>
  </r>
  <r>
    <s v="PAT-3475"/>
    <s v="Michael Smith"/>
    <n v="64"/>
    <x v="0"/>
    <x v="0"/>
    <x v="347"/>
    <d v="2024-07-07T00:00:00"/>
    <n v="3"/>
    <x v="2"/>
    <x v="5"/>
    <n v="3173.52"/>
    <n v="0.9"/>
    <n v="2856.1680000000001"/>
    <n v="317.35199999999986"/>
    <x v="2"/>
    <m/>
  </r>
  <r>
    <s v="PAT-3476"/>
    <s v="Michelle Jones"/>
    <n v="38"/>
    <x v="2"/>
    <x v="1"/>
    <x v="210"/>
    <d v="2025-05-02T00:00:00"/>
    <n v="9"/>
    <x v="4"/>
    <x v="11"/>
    <n v="12100.26"/>
    <n v="0.9"/>
    <n v="10890.234"/>
    <n v="1210.0259999999998"/>
    <x v="2"/>
    <m/>
  </r>
  <r>
    <s v="PAT-3477"/>
    <s v="Jennifer Smith"/>
    <n v="66"/>
    <x v="1"/>
    <x v="1"/>
    <x v="233"/>
    <d v="2024-02-27T00:00:00"/>
    <n v="6"/>
    <x v="0"/>
    <x v="6"/>
    <n v="17141"/>
    <n v="0.9"/>
    <n v="15426.9"/>
    <n v="1714.1000000000004"/>
    <x v="0"/>
    <m/>
  </r>
  <r>
    <s v="PAT-3478"/>
    <s v="Betty Moore"/>
    <n v="36"/>
    <x v="2"/>
    <x v="1"/>
    <x v="348"/>
    <d v="2025-01-27T00:00:00"/>
    <n v="1"/>
    <x v="1"/>
    <x v="31"/>
    <n v="1576.85"/>
    <n v="0.8"/>
    <n v="1261.48"/>
    <n v="315.36999999999989"/>
    <x v="1"/>
    <m/>
  </r>
  <r>
    <s v="PAT-3479"/>
    <s v="William Rodriguez"/>
    <n v="54"/>
    <x v="0"/>
    <x v="0"/>
    <x v="349"/>
    <d v="2024-08-01T00:00:00"/>
    <n v="1"/>
    <x v="2"/>
    <x v="10"/>
    <n v="534.38"/>
    <n v="0.8"/>
    <n v="427.50400000000002"/>
    <n v="106.87599999999998"/>
    <x v="0"/>
    <m/>
  </r>
  <r>
    <s v="PAT-3480"/>
    <s v="Kimberly Clark"/>
    <n v="1"/>
    <x v="6"/>
    <x v="1"/>
    <x v="161"/>
    <d v="2024-01-10T00:00:00"/>
    <n v="1"/>
    <x v="3"/>
    <x v="24"/>
    <n v="728.22"/>
    <n v="0.6"/>
    <n v="436.93200000000002"/>
    <n v="291.28800000000001"/>
    <x v="0"/>
    <m/>
  </r>
  <r>
    <s v="PAT-3481"/>
    <s v="Thomas Martin"/>
    <n v="29"/>
    <x v="2"/>
    <x v="0"/>
    <x v="350"/>
    <d v="2025-07-15T00:00:00"/>
    <n v="6"/>
    <x v="4"/>
    <x v="27"/>
    <n v="12100.99"/>
    <n v="1"/>
    <n v="12100.99"/>
    <n v="0"/>
    <x v="1"/>
    <m/>
  </r>
  <r>
    <s v="PAT-3482"/>
    <s v="Dorothy Brown"/>
    <n v="77"/>
    <x v="1"/>
    <x v="1"/>
    <x v="351"/>
    <d v="2025-05-20T00:00:00"/>
    <n v="6"/>
    <x v="0"/>
    <x v="0"/>
    <n v="8417.51"/>
    <n v="0.7"/>
    <n v="5892.2569999999996"/>
    <n v="2525.2530000000006"/>
    <x v="2"/>
    <m/>
  </r>
  <r>
    <s v="PAT-3483"/>
    <s v="Linda Davis"/>
    <n v="82"/>
    <x v="1"/>
    <x v="1"/>
    <x v="249"/>
    <d v="2024-08-18T00:00:00"/>
    <n v="3"/>
    <x v="0"/>
    <x v="29"/>
    <n v="4494.01"/>
    <n v="0.5"/>
    <n v="2247.0050000000001"/>
    <n v="2247.0050000000001"/>
    <x v="2"/>
    <m/>
  </r>
  <r>
    <s v="PAT-3484"/>
    <s v="Paul Johnson"/>
    <n v="2"/>
    <x v="6"/>
    <x v="0"/>
    <x v="352"/>
    <d v="2024-03-13T00:00:00"/>
    <n v="4"/>
    <x v="3"/>
    <x v="24"/>
    <n v="3929.21"/>
    <n v="0.9"/>
    <n v="3536.2890000000002"/>
    <n v="392.92099999999982"/>
    <x v="1"/>
    <m/>
  </r>
  <r>
    <s v="PAT-3485"/>
    <s v="Lisa Jones"/>
    <n v="48"/>
    <x v="0"/>
    <x v="1"/>
    <x v="353"/>
    <d v="2025-12-06T00:00:00"/>
    <n v="14"/>
    <x v="4"/>
    <x v="14"/>
    <n v="24600.43"/>
    <n v="0.7"/>
    <n v="17220.300999999999"/>
    <n v="7380.1290000000008"/>
    <x v="1"/>
    <m/>
  </r>
  <r>
    <s v="PAT-3486"/>
    <s v="Joseph Clark"/>
    <n v="60"/>
    <x v="0"/>
    <x v="0"/>
    <x v="354"/>
    <d v="2024-05-29T00:00:00"/>
    <n v="3"/>
    <x v="1"/>
    <x v="15"/>
    <n v="4928.0600000000004"/>
    <n v="0.6"/>
    <n v="2956.8360000000002"/>
    <n v="1971.2240000000002"/>
    <x v="2"/>
    <m/>
  </r>
  <r>
    <s v="PAT-3487"/>
    <s v="Linda Wilson"/>
    <n v="69"/>
    <x v="1"/>
    <x v="1"/>
    <x v="355"/>
    <d v="2025-01-30T00:00:00"/>
    <n v="1"/>
    <x v="1"/>
    <x v="3"/>
    <n v="1292.28"/>
    <n v="1"/>
    <n v="1292.28"/>
    <n v="0"/>
    <x v="0"/>
    <m/>
  </r>
  <r>
    <s v="PAT-3488"/>
    <s v="Nancy Jones"/>
    <n v="14"/>
    <x v="5"/>
    <x v="1"/>
    <x v="356"/>
    <d v="2024-11-05T00:00:00"/>
    <n v="3"/>
    <x v="3"/>
    <x v="25"/>
    <n v="3900.85"/>
    <n v="0.9"/>
    <n v="3510.7649999999999"/>
    <n v="390.08500000000004"/>
    <x v="0"/>
    <m/>
  </r>
  <r>
    <s v="PAT-3489"/>
    <s v="Nancy Perez"/>
    <n v="39"/>
    <x v="2"/>
    <x v="1"/>
    <x v="58"/>
    <d v="2025-04-29T00:00:00"/>
    <n v="5"/>
    <x v="2"/>
    <x v="33"/>
    <n v="2872.81"/>
    <n v="1"/>
    <n v="2872.81"/>
    <n v="0"/>
    <x v="1"/>
    <m/>
  </r>
  <r>
    <s v="PAT-3490"/>
    <s v="Barbara Brown"/>
    <n v="43"/>
    <x v="2"/>
    <x v="1"/>
    <x v="357"/>
    <d v="2025-11-23T00:00:00"/>
    <n v="9"/>
    <x v="4"/>
    <x v="18"/>
    <n v="16993.79"/>
    <n v="0.7"/>
    <n v="11895.653"/>
    <n v="5098.1370000000006"/>
    <x v="2"/>
    <m/>
  </r>
  <r>
    <s v="PAT-3491"/>
    <s v="Matthew Ramirez"/>
    <n v="11"/>
    <x v="3"/>
    <x v="0"/>
    <x v="40"/>
    <d v="2025-11-22T00:00:00"/>
    <n v="4"/>
    <x v="3"/>
    <x v="37"/>
    <n v="4693.3500000000004"/>
    <n v="0.8"/>
    <n v="3754.6800000000003"/>
    <n v="938.67000000000007"/>
    <x v="0"/>
    <m/>
  </r>
  <r>
    <s v="PAT-3492"/>
    <s v="Sarah Brown"/>
    <n v="71"/>
    <x v="1"/>
    <x v="1"/>
    <x v="191"/>
    <d v="2025-11-30T00:00:00"/>
    <n v="1"/>
    <x v="1"/>
    <x v="32"/>
    <n v="2381.67"/>
    <n v="0.6"/>
    <n v="1429.002"/>
    <n v="952.66800000000012"/>
    <x v="2"/>
    <m/>
  </r>
  <r>
    <s v="PAT-3493"/>
    <s v="Robert Williams"/>
    <n v="14"/>
    <x v="5"/>
    <x v="0"/>
    <x v="2"/>
    <d v="2024-04-07T00:00:00"/>
    <n v="2"/>
    <x v="3"/>
    <x v="22"/>
    <n v="3014.2"/>
    <n v="0.6"/>
    <n v="1808.5199999999998"/>
    <n v="1205.68"/>
    <x v="1"/>
    <m/>
  </r>
  <r>
    <s v="PAT-3494"/>
    <s v="Mary Thompson"/>
    <n v="45"/>
    <x v="0"/>
    <x v="1"/>
    <x v="272"/>
    <d v="2024-05-27T00:00:00"/>
    <n v="8"/>
    <x v="5"/>
    <x v="35"/>
    <n v="13434.66"/>
    <n v="0.6"/>
    <n v="8060.7959999999994"/>
    <n v="5373.8640000000005"/>
    <x v="1"/>
    <m/>
  </r>
  <r>
    <s v="PAT-3495"/>
    <s v="Michael White"/>
    <n v="29"/>
    <x v="2"/>
    <x v="0"/>
    <x v="358"/>
    <d v="2025-05-26T00:00:00"/>
    <n v="11"/>
    <x v="4"/>
    <x v="27"/>
    <n v="13647.71"/>
    <n v="0.5"/>
    <n v="6823.8549999999996"/>
    <n v="6823.8549999999996"/>
    <x v="0"/>
    <m/>
  </r>
  <r>
    <s v="PAT-3496"/>
    <s v="Michael Robinson"/>
    <n v="44"/>
    <x v="2"/>
    <x v="0"/>
    <x v="359"/>
    <d v="2025-10-04T00:00:00"/>
    <n v="2"/>
    <x v="4"/>
    <x v="26"/>
    <n v="4992.76"/>
    <n v="0.6"/>
    <n v="2995.6559999999999"/>
    <n v="1997.1040000000003"/>
    <x v="0"/>
    <m/>
  </r>
  <r>
    <s v="PAT-3497"/>
    <s v="Robert Jackson"/>
    <n v="42"/>
    <x v="2"/>
    <x v="0"/>
    <x v="360"/>
    <d v="2025-01-02T00:00:00"/>
    <n v="2"/>
    <x v="1"/>
    <x v="7"/>
    <n v="4370.5"/>
    <n v="0.7"/>
    <n v="3059.35"/>
    <n v="1311.15"/>
    <x v="1"/>
    <m/>
  </r>
  <r>
    <s v="PAT-3498"/>
    <s v="Donna Johnson"/>
    <n v="48"/>
    <x v="0"/>
    <x v="1"/>
    <x v="361"/>
    <d v="2025-01-08T00:00:00"/>
    <n v="4"/>
    <x v="2"/>
    <x v="16"/>
    <n v="3007.7"/>
    <n v="0.8"/>
    <n v="2406.16"/>
    <n v="601.54"/>
    <x v="1"/>
    <m/>
  </r>
  <r>
    <s v="PAT-3499"/>
    <s v="Donna Martinez"/>
    <n v="50"/>
    <x v="0"/>
    <x v="1"/>
    <x v="362"/>
    <d v="2025-01-16T00:00:00"/>
    <n v="7"/>
    <x v="5"/>
    <x v="17"/>
    <n v="17578.87"/>
    <n v="0.8"/>
    <n v="14063.096"/>
    <n v="3515.7739999999994"/>
    <x v="0"/>
    <m/>
  </r>
  <r>
    <s v="PAT-3500"/>
    <s v="Anthony White"/>
    <n v="78"/>
    <x v="1"/>
    <x v="0"/>
    <x v="363"/>
    <d v="2025-09-12T00:00:00"/>
    <n v="2"/>
    <x v="2"/>
    <x v="10"/>
    <n v="1203.76"/>
    <n v="0.9"/>
    <n v="1083.384"/>
    <n v="120.37599999999998"/>
    <x v="1"/>
    <m/>
  </r>
  <r>
    <s v="PAT-3501"/>
    <s v="Donna Lee"/>
    <n v="22"/>
    <x v="2"/>
    <x v="1"/>
    <x v="171"/>
    <d v="2024-12-16T00:00:00"/>
    <n v="3"/>
    <x v="1"/>
    <x v="2"/>
    <n v="2453.12"/>
    <n v="0.5"/>
    <n v="1226.56"/>
    <n v="1226.56"/>
    <x v="0"/>
    <m/>
  </r>
  <r>
    <s v="PAT-3502"/>
    <s v="Kevin White"/>
    <n v="64"/>
    <x v="0"/>
    <x v="0"/>
    <x v="364"/>
    <d v="2024-05-01T00:00:00"/>
    <n v="3"/>
    <x v="0"/>
    <x v="19"/>
    <n v="6452.72"/>
    <n v="0.7"/>
    <n v="4516.9039999999995"/>
    <n v="1935.8160000000007"/>
    <x v="0"/>
    <m/>
  </r>
  <r>
    <s v="PAT-3503"/>
    <s v="Lisa Lee"/>
    <n v="10"/>
    <x v="3"/>
    <x v="1"/>
    <x v="349"/>
    <d v="2024-08-03T00:00:00"/>
    <n v="3"/>
    <x v="3"/>
    <x v="9"/>
    <n v="3215.48"/>
    <n v="0.9"/>
    <n v="2893.9320000000002"/>
    <n v="321.54799999999977"/>
    <x v="0"/>
    <m/>
  </r>
  <r>
    <s v="PAT-3504"/>
    <s v="Daniel Jones"/>
    <n v="62"/>
    <x v="0"/>
    <x v="0"/>
    <x v="162"/>
    <d v="2025-01-27T00:00:00"/>
    <n v="6"/>
    <x v="0"/>
    <x v="6"/>
    <n v="17458.62"/>
    <n v="0"/>
    <n v="0"/>
    <n v="17458.62"/>
    <x v="0"/>
    <m/>
  </r>
  <r>
    <s v="PAT-3505"/>
    <s v="Steven Young"/>
    <n v="57"/>
    <x v="0"/>
    <x v="0"/>
    <x v="279"/>
    <d v="2025-12-07T00:00:00"/>
    <n v="5"/>
    <x v="0"/>
    <x v="0"/>
    <n v="14707.56"/>
    <n v="0.8"/>
    <n v="11766.048000000001"/>
    <n v="2941.5119999999988"/>
    <x v="2"/>
    <m/>
  </r>
  <r>
    <s v="PAT-3506"/>
    <s v="Steven Davis"/>
    <n v="52"/>
    <x v="0"/>
    <x v="0"/>
    <x v="234"/>
    <d v="2024-07-17T00:00:00"/>
    <n v="4"/>
    <x v="2"/>
    <x v="10"/>
    <n v="5116.62"/>
    <n v="0.9"/>
    <n v="4604.9579999999996"/>
    <n v="511.66200000000026"/>
    <x v="2"/>
    <m/>
  </r>
  <r>
    <s v="PAT-3507"/>
    <s v="Barbara Davis"/>
    <n v="29"/>
    <x v="2"/>
    <x v="1"/>
    <x v="323"/>
    <d v="2024-08-13T00:00:00"/>
    <n v="7"/>
    <x v="4"/>
    <x v="18"/>
    <n v="11957.78"/>
    <n v="0.8"/>
    <n v="9566.2240000000002"/>
    <n v="2391.5560000000005"/>
    <x v="1"/>
    <m/>
  </r>
  <r>
    <s v="PAT-3508"/>
    <s v="Michelle Taylor"/>
    <n v="76"/>
    <x v="1"/>
    <x v="1"/>
    <x v="273"/>
    <d v="2024-08-22T00:00:00"/>
    <n v="1"/>
    <x v="1"/>
    <x v="3"/>
    <n v="2237.66"/>
    <n v="0.8"/>
    <n v="1790.1279999999999"/>
    <n v="447.53199999999993"/>
    <x v="0"/>
    <m/>
  </r>
  <r>
    <s v="PAT-3509"/>
    <s v="Steven Robinson"/>
    <n v="29"/>
    <x v="2"/>
    <x v="0"/>
    <x v="365"/>
    <d v="2025-07-19T00:00:00"/>
    <n v="1"/>
    <x v="2"/>
    <x v="8"/>
    <n v="912.18"/>
    <n v="0.5"/>
    <n v="456.09"/>
    <n v="456.09"/>
    <x v="1"/>
    <m/>
  </r>
  <r>
    <s v="PAT-3510"/>
    <s v="Lisa Lopez"/>
    <n v="63"/>
    <x v="0"/>
    <x v="1"/>
    <x v="362"/>
    <d v="2025-01-10T00:00:00"/>
    <n v="1"/>
    <x v="1"/>
    <x v="7"/>
    <n v="2435.08"/>
    <n v="0.6"/>
    <n v="1461.048"/>
    <n v="974.03199999999993"/>
    <x v="2"/>
    <m/>
  </r>
  <r>
    <s v="PAT-3511"/>
    <s v="Michael Miller"/>
    <n v="55"/>
    <x v="0"/>
    <x v="0"/>
    <x v="366"/>
    <d v="2024-02-18T00:00:00"/>
    <n v="12"/>
    <x v="4"/>
    <x v="27"/>
    <n v="26103.65"/>
    <n v="0.6"/>
    <n v="15662.19"/>
    <n v="10441.460000000001"/>
    <x v="2"/>
    <m/>
  </r>
  <r>
    <s v="PAT-3512"/>
    <s v="William Jones"/>
    <n v="6"/>
    <x v="3"/>
    <x v="0"/>
    <x v="15"/>
    <d v="2025-02-08T00:00:00"/>
    <n v="1"/>
    <x v="3"/>
    <x v="9"/>
    <n v="762.87"/>
    <n v="0.8"/>
    <n v="610.29600000000005"/>
    <n v="152.57399999999996"/>
    <x v="0"/>
    <m/>
  </r>
  <r>
    <s v="PAT-3513"/>
    <s v="Michelle Thompson"/>
    <n v="15"/>
    <x v="5"/>
    <x v="1"/>
    <x v="33"/>
    <d v="2025-10-16T00:00:00"/>
    <n v="1"/>
    <x v="3"/>
    <x v="23"/>
    <n v="653.57000000000005"/>
    <n v="0.7"/>
    <n v="457.49900000000002"/>
    <n v="196.07100000000003"/>
    <x v="1"/>
    <m/>
  </r>
  <r>
    <s v="PAT-3514"/>
    <s v="Mary Taylor"/>
    <n v="60"/>
    <x v="0"/>
    <x v="1"/>
    <x v="310"/>
    <d v="2025-12-27T00:00:00"/>
    <n v="3"/>
    <x v="4"/>
    <x v="18"/>
    <n v="7007.11"/>
    <n v="0.8"/>
    <n v="5605.6880000000001"/>
    <n v="1401.4219999999996"/>
    <x v="0"/>
    <m/>
  </r>
  <r>
    <s v="PAT-3515"/>
    <s v="Joshua Williams"/>
    <n v="66"/>
    <x v="1"/>
    <x v="0"/>
    <x v="358"/>
    <d v="2025-05-22T00:00:00"/>
    <n v="7"/>
    <x v="2"/>
    <x v="8"/>
    <n v="9641.39"/>
    <n v="0.8"/>
    <n v="7713.1120000000001"/>
    <n v="1928.2779999999993"/>
    <x v="0"/>
    <m/>
  </r>
  <r>
    <s v="PAT-3516"/>
    <s v="Lisa Wilson"/>
    <n v="41"/>
    <x v="2"/>
    <x v="1"/>
    <x v="70"/>
    <d v="2025-04-11T00:00:00"/>
    <n v="10"/>
    <x v="4"/>
    <x v="18"/>
    <n v="20277.68"/>
    <n v="0.6"/>
    <n v="12166.608"/>
    <n v="8111.0720000000001"/>
    <x v="1"/>
    <m/>
  </r>
  <r>
    <s v="PAT-3517"/>
    <s v="Sandra Williams"/>
    <n v="56"/>
    <x v="0"/>
    <x v="1"/>
    <x v="367"/>
    <d v="2025-10-27T00:00:00"/>
    <n v="7"/>
    <x v="0"/>
    <x v="20"/>
    <n v="10406.790000000001"/>
    <n v="0.7"/>
    <n v="7284.7529999999997"/>
    <n v="3122.0370000000012"/>
    <x v="1"/>
    <m/>
  </r>
  <r>
    <s v="PAT-3518"/>
    <s v="Steven Johnson"/>
    <n v="25"/>
    <x v="2"/>
    <x v="0"/>
    <x v="288"/>
    <d v="2025-04-24T00:00:00"/>
    <n v="3"/>
    <x v="1"/>
    <x v="36"/>
    <n v="5735.73"/>
    <n v="0.8"/>
    <n v="4588.5839999999998"/>
    <n v="1147.1459999999997"/>
    <x v="1"/>
    <m/>
  </r>
  <r>
    <s v="PAT-3519"/>
    <s v="Andrew Lewis"/>
    <n v="38"/>
    <x v="2"/>
    <x v="0"/>
    <x v="49"/>
    <d v="2024-07-09T00:00:00"/>
    <n v="3"/>
    <x v="2"/>
    <x v="10"/>
    <n v="4420.13"/>
    <n v="0.9"/>
    <n v="3978.1170000000002"/>
    <n v="442.01299999999992"/>
    <x v="0"/>
    <m/>
  </r>
  <r>
    <s v="PAT-3520"/>
    <s v="Karen Walker"/>
    <n v="56"/>
    <x v="0"/>
    <x v="1"/>
    <x v="247"/>
    <d v="2025-08-25T00:00:00"/>
    <n v="6"/>
    <x v="2"/>
    <x v="21"/>
    <n v="4034.24"/>
    <n v="0.9"/>
    <n v="3630.8159999999998"/>
    <n v="403.42399999999998"/>
    <x v="1"/>
    <m/>
  </r>
  <r>
    <s v="PAT-3521"/>
    <s v="Brian Miller"/>
    <n v="53"/>
    <x v="0"/>
    <x v="0"/>
    <x v="61"/>
    <d v="2025-02-04T00:00:00"/>
    <n v="11"/>
    <x v="5"/>
    <x v="12"/>
    <n v="18224.23"/>
    <n v="0.8"/>
    <n v="14579.384"/>
    <n v="3644.8459999999995"/>
    <x v="0"/>
    <m/>
  </r>
  <r>
    <s v="PAT-3522"/>
    <s v="Thomas Clark"/>
    <n v="21"/>
    <x v="2"/>
    <x v="0"/>
    <x v="368"/>
    <d v="2024-07-29T00:00:00"/>
    <n v="7"/>
    <x v="2"/>
    <x v="21"/>
    <n v="4562.96"/>
    <n v="0.9"/>
    <n v="4106.6639999999998"/>
    <n v="456.29600000000028"/>
    <x v="0"/>
    <m/>
  </r>
  <r>
    <s v="PAT-3523"/>
    <s v="David Anderson"/>
    <n v="1"/>
    <x v="6"/>
    <x v="0"/>
    <x v="369"/>
    <d v="2024-11-05T00:00:00"/>
    <n v="5"/>
    <x v="3"/>
    <x v="23"/>
    <n v="7560.63"/>
    <n v="0"/>
    <n v="0"/>
    <n v="7560.63"/>
    <x v="0"/>
    <m/>
  </r>
  <r>
    <s v="PAT-3524"/>
    <s v="Sarah Anderson"/>
    <n v="21"/>
    <x v="2"/>
    <x v="1"/>
    <x v="227"/>
    <d v="2025-07-16T00:00:00"/>
    <n v="1"/>
    <x v="2"/>
    <x v="8"/>
    <n v="605"/>
    <n v="0.8"/>
    <n v="484"/>
    <n v="121"/>
    <x v="0"/>
    <m/>
  </r>
  <r>
    <s v="PAT-3525"/>
    <s v="Lisa Davis"/>
    <n v="77"/>
    <x v="1"/>
    <x v="1"/>
    <x v="27"/>
    <d v="2025-01-26T00:00:00"/>
    <n v="1"/>
    <x v="1"/>
    <x v="31"/>
    <n v="899.35"/>
    <n v="0.7"/>
    <n v="629.54499999999996"/>
    <n v="269.80500000000006"/>
    <x v="1"/>
    <m/>
  </r>
  <r>
    <s v="PAT-3526"/>
    <s v="Kenneth Davis"/>
    <n v="54"/>
    <x v="0"/>
    <x v="0"/>
    <x v="337"/>
    <d v="2024-03-04T00:00:00"/>
    <n v="5"/>
    <x v="0"/>
    <x v="0"/>
    <n v="13642.77"/>
    <n v="0.8"/>
    <n v="10914.216"/>
    <n v="2728.5540000000001"/>
    <x v="2"/>
    <m/>
  </r>
  <r>
    <s v="PAT-3527"/>
    <s v="Emily Walker"/>
    <n v="49"/>
    <x v="0"/>
    <x v="1"/>
    <x v="370"/>
    <d v="2024-09-09T00:00:00"/>
    <n v="1"/>
    <x v="2"/>
    <x v="16"/>
    <n v="1419.55"/>
    <n v="0.9"/>
    <n v="1277.595"/>
    <n v="141.95499999999993"/>
    <x v="2"/>
    <m/>
  </r>
  <r>
    <s v="PAT-3528"/>
    <s v="Thomas Garcia"/>
    <n v="74"/>
    <x v="1"/>
    <x v="0"/>
    <x v="371"/>
    <d v="2025-09-13T00:00:00"/>
    <n v="5"/>
    <x v="2"/>
    <x v="4"/>
    <n v="4915.01"/>
    <n v="0.9"/>
    <n v="4423.509"/>
    <n v="491.5010000000002"/>
    <x v="0"/>
    <m/>
  </r>
  <r>
    <s v="PAT-3529"/>
    <s v="Sarah Lee"/>
    <n v="24"/>
    <x v="2"/>
    <x v="1"/>
    <x v="372"/>
    <d v="2024-06-09T00:00:00"/>
    <n v="1"/>
    <x v="2"/>
    <x v="21"/>
    <n v="879.73"/>
    <n v="0.8"/>
    <n v="703.78400000000011"/>
    <n v="175.94599999999991"/>
    <x v="0"/>
    <m/>
  </r>
  <r>
    <s v="PAT-3530"/>
    <s v="Barbara Thompson"/>
    <n v="78"/>
    <x v="1"/>
    <x v="1"/>
    <x v="140"/>
    <d v="2024-07-26T00:00:00"/>
    <n v="3"/>
    <x v="1"/>
    <x v="3"/>
    <n v="4924.09"/>
    <n v="0.7"/>
    <n v="3446.8629999999998"/>
    <n v="1477.2270000000003"/>
    <x v="0"/>
    <m/>
  </r>
  <r>
    <s v="PAT-3531"/>
    <s v="Joshua Miller"/>
    <n v="34"/>
    <x v="2"/>
    <x v="0"/>
    <x v="211"/>
    <d v="2025-11-12T00:00:00"/>
    <n v="10"/>
    <x v="4"/>
    <x v="11"/>
    <n v="13077.22"/>
    <n v="0.6"/>
    <n v="7846.3319999999994"/>
    <n v="5230.8879999999999"/>
    <x v="2"/>
    <m/>
  </r>
  <r>
    <s v="PAT-3532"/>
    <s v="William Young"/>
    <n v="45"/>
    <x v="0"/>
    <x v="0"/>
    <x v="298"/>
    <d v="2025-10-18T00:00:00"/>
    <n v="7"/>
    <x v="2"/>
    <x v="8"/>
    <n v="5438.75"/>
    <n v="0.8"/>
    <n v="4351"/>
    <n v="1087.75"/>
    <x v="0"/>
    <m/>
  </r>
  <r>
    <s v="PAT-3533"/>
    <s v="Carol Ramirez"/>
    <n v="59"/>
    <x v="0"/>
    <x v="1"/>
    <x v="283"/>
    <d v="2024-11-04T00:00:00"/>
    <n v="8"/>
    <x v="0"/>
    <x v="1"/>
    <n v="23659.1"/>
    <n v="0.9"/>
    <n v="21293.19"/>
    <n v="2365.91"/>
    <x v="1"/>
    <m/>
  </r>
  <r>
    <s v="PAT-3534"/>
    <s v="Robert Clark"/>
    <n v="80"/>
    <x v="1"/>
    <x v="0"/>
    <x v="43"/>
    <d v="2024-07-22T00:00:00"/>
    <n v="5"/>
    <x v="0"/>
    <x v="29"/>
    <n v="10323.56"/>
    <n v="0.7"/>
    <n v="7226.4919999999993"/>
    <n v="3097.0680000000002"/>
    <x v="0"/>
    <m/>
  </r>
  <r>
    <s v="PAT-3535"/>
    <s v="James Walker"/>
    <n v="53"/>
    <x v="0"/>
    <x v="0"/>
    <x v="38"/>
    <d v="2024-12-26T00:00:00"/>
    <n v="9"/>
    <x v="4"/>
    <x v="27"/>
    <n v="23629.360000000001"/>
    <n v="0.9"/>
    <n v="21266.424000000003"/>
    <n v="2362.9359999999979"/>
    <x v="0"/>
    <m/>
  </r>
  <r>
    <s v="PAT-3536"/>
    <s v="Thomas Lewis"/>
    <n v="65"/>
    <x v="1"/>
    <x v="0"/>
    <x v="256"/>
    <d v="2024-03-14T00:00:00"/>
    <n v="6"/>
    <x v="2"/>
    <x v="21"/>
    <n v="7474.49"/>
    <n v="0.7"/>
    <n v="5232.1429999999991"/>
    <n v="2242.3470000000007"/>
    <x v="0"/>
    <m/>
  </r>
  <r>
    <s v="PAT-3537"/>
    <s v="Elizabeth Robinson"/>
    <n v="46"/>
    <x v="0"/>
    <x v="1"/>
    <x v="19"/>
    <d v="2025-05-30T00:00:00"/>
    <n v="3"/>
    <x v="1"/>
    <x v="32"/>
    <n v="6062.52"/>
    <n v="0.9"/>
    <n v="5456.2680000000009"/>
    <n v="606.2519999999995"/>
    <x v="0"/>
    <m/>
  </r>
  <r>
    <s v="PAT-3538"/>
    <s v="Karen Taylor"/>
    <n v="19"/>
    <x v="2"/>
    <x v="1"/>
    <x v="373"/>
    <d v="2024-07-01T00:00:00"/>
    <n v="2"/>
    <x v="1"/>
    <x v="15"/>
    <n v="4748.93"/>
    <n v="0"/>
    <n v="0"/>
    <n v="4748.93"/>
    <x v="0"/>
    <m/>
  </r>
  <r>
    <s v="PAT-3539"/>
    <s v="Anthony Jackson"/>
    <n v="12"/>
    <x v="5"/>
    <x v="0"/>
    <x v="281"/>
    <d v="2025-05-14T00:00:00"/>
    <n v="4"/>
    <x v="3"/>
    <x v="22"/>
    <n v="5993.64"/>
    <n v="0"/>
    <n v="0"/>
    <n v="5993.64"/>
    <x v="2"/>
    <m/>
  </r>
  <r>
    <s v="PAT-3540"/>
    <s v="Michael Taylor"/>
    <n v="49"/>
    <x v="0"/>
    <x v="0"/>
    <x v="374"/>
    <d v="2025-11-22T00:00:00"/>
    <n v="2"/>
    <x v="2"/>
    <x v="8"/>
    <n v="1129.2"/>
    <n v="0.8"/>
    <n v="903.36000000000013"/>
    <n v="225.83999999999992"/>
    <x v="0"/>
    <m/>
  </r>
  <r>
    <s v="PAT-3541"/>
    <s v="Barbara Davis"/>
    <n v="47"/>
    <x v="0"/>
    <x v="1"/>
    <x v="146"/>
    <d v="2024-05-08T00:00:00"/>
    <n v="3"/>
    <x v="1"/>
    <x v="31"/>
    <n v="2925.89"/>
    <n v="0.6"/>
    <n v="1755.5339999999999"/>
    <n v="1170.356"/>
    <x v="2"/>
    <m/>
  </r>
  <r>
    <s v="PAT-3542"/>
    <s v="Karen Davis"/>
    <n v="60"/>
    <x v="0"/>
    <x v="1"/>
    <x v="375"/>
    <d v="2024-10-02T00:00:00"/>
    <n v="2"/>
    <x v="1"/>
    <x v="31"/>
    <n v="3791.25"/>
    <n v="0.6"/>
    <n v="2274.75"/>
    <n v="1516.5"/>
    <x v="1"/>
    <m/>
  </r>
  <r>
    <s v="PAT-3543"/>
    <s v="Karen White"/>
    <n v="39"/>
    <x v="2"/>
    <x v="1"/>
    <x v="30"/>
    <d v="2024-06-30T00:00:00"/>
    <n v="7"/>
    <x v="4"/>
    <x v="27"/>
    <n v="17536.5"/>
    <n v="0.9"/>
    <n v="15782.85"/>
    <n v="1753.6499999999996"/>
    <x v="0"/>
    <m/>
  </r>
  <r>
    <s v="PAT-3544"/>
    <s v="Sarah Davis"/>
    <n v="35"/>
    <x v="2"/>
    <x v="1"/>
    <x v="376"/>
    <d v="2025-02-03T00:00:00"/>
    <n v="4"/>
    <x v="2"/>
    <x v="4"/>
    <n v="2285.7199999999998"/>
    <n v="0.9"/>
    <n v="2057.1479999999997"/>
    <n v="228.57200000000012"/>
    <x v="0"/>
    <m/>
  </r>
  <r>
    <s v="PAT-3545"/>
    <s v="Carol Wilson"/>
    <n v="37"/>
    <x v="2"/>
    <x v="1"/>
    <x v="377"/>
    <d v="2024-01-22T00:00:00"/>
    <n v="9"/>
    <x v="4"/>
    <x v="18"/>
    <n v="11741.84"/>
    <n v="0.8"/>
    <n v="9393.4719999999998"/>
    <n v="2348.3680000000004"/>
    <x v="0"/>
    <m/>
  </r>
  <r>
    <s v="PAT-3546"/>
    <s v="Emily Jackson"/>
    <n v="51"/>
    <x v="0"/>
    <x v="1"/>
    <x v="378"/>
    <d v="2025-10-21T00:00:00"/>
    <n v="8"/>
    <x v="0"/>
    <x v="6"/>
    <n v="17157.7"/>
    <n v="0.8"/>
    <n v="13726.160000000002"/>
    <n v="3431.5399999999991"/>
    <x v="1"/>
    <m/>
  </r>
  <r>
    <s v="PAT-3547"/>
    <s v="Susan Clark"/>
    <n v="69"/>
    <x v="1"/>
    <x v="1"/>
    <x v="119"/>
    <d v="2025-05-17T00:00:00"/>
    <n v="1"/>
    <x v="2"/>
    <x v="33"/>
    <n v="1202.17"/>
    <n v="0"/>
    <n v="0"/>
    <n v="1202.17"/>
    <x v="2"/>
    <m/>
  </r>
  <r>
    <s v="PAT-3548"/>
    <s v="David Johnson"/>
    <n v="10"/>
    <x v="3"/>
    <x v="0"/>
    <x v="379"/>
    <d v="2025-05-26T00:00:00"/>
    <n v="1"/>
    <x v="3"/>
    <x v="9"/>
    <n v="963.75"/>
    <n v="1"/>
    <n v="963.75"/>
    <n v="0"/>
    <x v="0"/>
    <m/>
  </r>
  <r>
    <s v="PAT-3549"/>
    <s v="Andrew White"/>
    <n v="5"/>
    <x v="3"/>
    <x v="0"/>
    <x v="124"/>
    <d v="2025-07-04T00:00:00"/>
    <n v="1"/>
    <x v="3"/>
    <x v="9"/>
    <n v="634.45000000000005"/>
    <n v="0.8"/>
    <n v="507.56000000000006"/>
    <n v="126.88999999999999"/>
    <x v="0"/>
    <m/>
  </r>
  <r>
    <s v="PAT-3550"/>
    <s v="Joshua Clark"/>
    <n v="67"/>
    <x v="1"/>
    <x v="0"/>
    <x v="380"/>
    <d v="2025-07-01T00:00:00"/>
    <n v="12"/>
    <x v="4"/>
    <x v="18"/>
    <n v="15003.09"/>
    <n v="0.6"/>
    <n v="9001.8539999999994"/>
    <n v="6001.2360000000008"/>
    <x v="1"/>
    <m/>
  </r>
  <r>
    <s v="PAT-3551"/>
    <s v="Jennifer Anderson"/>
    <n v="33"/>
    <x v="2"/>
    <x v="1"/>
    <x v="381"/>
    <d v="2024-08-18T00:00:00"/>
    <n v="2"/>
    <x v="1"/>
    <x v="7"/>
    <n v="1936.8"/>
    <n v="0.8"/>
    <n v="1549.44"/>
    <n v="387.3599999999999"/>
    <x v="0"/>
    <m/>
  </r>
  <r>
    <s v="PAT-3552"/>
    <s v="Karen Taylor"/>
    <n v="37"/>
    <x v="2"/>
    <x v="1"/>
    <x v="275"/>
    <d v="2025-03-23T00:00:00"/>
    <n v="3"/>
    <x v="1"/>
    <x v="2"/>
    <n v="6193.25"/>
    <n v="0.6"/>
    <n v="3715.95"/>
    <n v="2477.3000000000002"/>
    <x v="1"/>
    <m/>
  </r>
  <r>
    <s v="PAT-3553"/>
    <s v="Donna Jackson"/>
    <n v="72"/>
    <x v="1"/>
    <x v="1"/>
    <x v="382"/>
    <d v="2025-10-25T00:00:00"/>
    <n v="7"/>
    <x v="4"/>
    <x v="11"/>
    <n v="11831.06"/>
    <n v="0.8"/>
    <n v="9464.848"/>
    <n v="2366.2119999999995"/>
    <x v="2"/>
    <m/>
  </r>
  <r>
    <s v="PAT-3554"/>
    <s v="Richard Perez"/>
    <n v="75"/>
    <x v="1"/>
    <x v="0"/>
    <x v="284"/>
    <d v="2025-02-11T00:00:00"/>
    <n v="7"/>
    <x v="2"/>
    <x v="16"/>
    <n v="7790.86"/>
    <n v="1"/>
    <n v="7790.86"/>
    <n v="0"/>
    <x v="0"/>
    <m/>
  </r>
  <r>
    <s v="PAT-3555"/>
    <s v="Nancy Young"/>
    <n v="27"/>
    <x v="2"/>
    <x v="1"/>
    <x v="374"/>
    <d v="2025-11-27T00:00:00"/>
    <n v="7"/>
    <x v="2"/>
    <x v="8"/>
    <n v="4784.6000000000004"/>
    <n v="0.7"/>
    <n v="3349.2200000000003"/>
    <n v="1435.38"/>
    <x v="0"/>
    <m/>
  </r>
  <r>
    <s v="PAT-3556"/>
    <s v="James Williams"/>
    <n v="60"/>
    <x v="0"/>
    <x v="0"/>
    <x v="383"/>
    <d v="2024-02-09T00:00:00"/>
    <n v="4"/>
    <x v="0"/>
    <x v="6"/>
    <n v="11688.29"/>
    <n v="0.7"/>
    <n v="8181.8029999999999"/>
    <n v="3506.487000000001"/>
    <x v="2"/>
    <m/>
  </r>
  <r>
    <s v="PAT-3557"/>
    <s v="Richard Perez"/>
    <n v="42"/>
    <x v="2"/>
    <x v="0"/>
    <x v="248"/>
    <d v="2024-09-17T00:00:00"/>
    <n v="8"/>
    <x v="0"/>
    <x v="1"/>
    <n v="18692.25"/>
    <n v="0.7"/>
    <n v="13084.574999999999"/>
    <n v="5607.6750000000011"/>
    <x v="0"/>
    <m/>
  </r>
  <r>
    <s v="PAT-3558"/>
    <s v="Richard Davis"/>
    <n v="10"/>
    <x v="3"/>
    <x v="0"/>
    <x v="235"/>
    <d v="2024-06-05T00:00:00"/>
    <n v="5"/>
    <x v="3"/>
    <x v="9"/>
    <n v="3371.75"/>
    <n v="1"/>
    <n v="3371.75"/>
    <n v="0"/>
    <x v="0"/>
    <m/>
  </r>
  <r>
    <s v="PAT-3559"/>
    <s v="Barbara Martinez"/>
    <n v="79"/>
    <x v="1"/>
    <x v="1"/>
    <x v="384"/>
    <d v="2024-08-14T00:00:00"/>
    <n v="2"/>
    <x v="1"/>
    <x v="3"/>
    <n v="4382.4799999999996"/>
    <n v="0.7"/>
    <n v="3067.7359999999994"/>
    <n v="1314.7440000000001"/>
    <x v="1"/>
    <m/>
  </r>
  <r>
    <s v="PAT-3560"/>
    <s v="Michelle Brown"/>
    <n v="82"/>
    <x v="1"/>
    <x v="1"/>
    <x v="385"/>
    <d v="2024-09-18T00:00:00"/>
    <n v="4"/>
    <x v="2"/>
    <x v="4"/>
    <n v="4088.62"/>
    <n v="0.6"/>
    <n v="2453.172"/>
    <n v="1635.4479999999999"/>
    <x v="2"/>
    <m/>
  </r>
  <r>
    <s v="PAT-3561"/>
    <s v="Mark Lopez"/>
    <n v="7"/>
    <x v="3"/>
    <x v="0"/>
    <x v="94"/>
    <d v="2025-07-30T00:00:00"/>
    <n v="3"/>
    <x v="3"/>
    <x v="37"/>
    <n v="3324.31"/>
    <n v="0.8"/>
    <n v="2659.4480000000003"/>
    <n v="664.86199999999963"/>
    <x v="2"/>
    <m/>
  </r>
  <r>
    <s v="PAT-3562"/>
    <s v="Paul Taylor"/>
    <n v="25"/>
    <x v="2"/>
    <x v="0"/>
    <x v="386"/>
    <d v="2024-05-09T00:00:00"/>
    <n v="8"/>
    <x v="4"/>
    <x v="11"/>
    <n v="9961.07"/>
    <n v="0.7"/>
    <n v="6972.7489999999998"/>
    <n v="2988.3209999999999"/>
    <x v="0"/>
    <m/>
  </r>
  <r>
    <s v="PAT-3563"/>
    <s v="Richard Brown"/>
    <n v="77"/>
    <x v="1"/>
    <x v="0"/>
    <x v="387"/>
    <d v="2024-01-30T00:00:00"/>
    <n v="6"/>
    <x v="2"/>
    <x v="16"/>
    <n v="8841.14"/>
    <n v="0"/>
    <n v="0"/>
    <n v="8841.14"/>
    <x v="0"/>
    <m/>
  </r>
  <r>
    <s v="PAT-3564"/>
    <s v="David Williams"/>
    <n v="3"/>
    <x v="3"/>
    <x v="0"/>
    <x v="388"/>
    <d v="2025-04-12T00:00:00"/>
    <n v="3"/>
    <x v="3"/>
    <x v="9"/>
    <n v="5228.9399999999996"/>
    <n v="0.5"/>
    <n v="2614.4699999999998"/>
    <n v="2614.4699999999998"/>
    <x v="1"/>
    <m/>
  </r>
  <r>
    <s v="PAT-3565"/>
    <s v="Daniel Williams"/>
    <n v="47"/>
    <x v="0"/>
    <x v="0"/>
    <x v="46"/>
    <d v="2025-11-10T00:00:00"/>
    <n v="5"/>
    <x v="2"/>
    <x v="21"/>
    <n v="6395.28"/>
    <n v="0.9"/>
    <n v="5755.7519999999995"/>
    <n v="639.52800000000025"/>
    <x v="0"/>
    <m/>
  </r>
  <r>
    <s v="PAT-3566"/>
    <s v="Jennifer Young"/>
    <n v="68"/>
    <x v="1"/>
    <x v="1"/>
    <x v="384"/>
    <d v="2024-08-13T00:00:00"/>
    <n v="1"/>
    <x v="2"/>
    <x v="16"/>
    <n v="973.65"/>
    <n v="0.8"/>
    <n v="778.92000000000007"/>
    <n v="194.7299999999999"/>
    <x v="1"/>
    <m/>
  </r>
  <r>
    <s v="PAT-3567"/>
    <s v="Joshua Garcia"/>
    <n v="52"/>
    <x v="0"/>
    <x v="0"/>
    <x v="389"/>
    <d v="2025-03-13T00:00:00"/>
    <n v="5"/>
    <x v="0"/>
    <x v="6"/>
    <n v="10137.39"/>
    <n v="0.7"/>
    <n v="7096.1729999999989"/>
    <n v="3041.2170000000006"/>
    <x v="2"/>
    <m/>
  </r>
  <r>
    <s v="PAT-3568"/>
    <s v="Ashley Moore"/>
    <n v="28"/>
    <x v="2"/>
    <x v="1"/>
    <x v="161"/>
    <d v="2024-01-21T00:00:00"/>
    <n v="12"/>
    <x v="4"/>
    <x v="14"/>
    <n v="22947.49"/>
    <n v="0.8"/>
    <n v="18357.992000000002"/>
    <n v="4589.4979999999996"/>
    <x v="0"/>
    <m/>
  </r>
  <r>
    <s v="PAT-3569"/>
    <s v="Kevin Anderson"/>
    <n v="67"/>
    <x v="1"/>
    <x v="0"/>
    <x v="193"/>
    <d v="2024-09-20T00:00:00"/>
    <n v="2"/>
    <x v="4"/>
    <x v="26"/>
    <n v="2438.71"/>
    <n v="0.7"/>
    <n v="1707.097"/>
    <n v="731.61300000000006"/>
    <x v="2"/>
    <m/>
  </r>
  <r>
    <s v="PAT-3570"/>
    <s v="Barbara Smith"/>
    <n v="55"/>
    <x v="0"/>
    <x v="1"/>
    <x v="352"/>
    <d v="2024-03-11T00:00:00"/>
    <n v="2"/>
    <x v="1"/>
    <x v="36"/>
    <n v="1963.87"/>
    <n v="0.8"/>
    <n v="1571.096"/>
    <n v="392.77399999999989"/>
    <x v="2"/>
    <m/>
  </r>
  <r>
    <s v="PAT-3571"/>
    <s v="Andrew White"/>
    <n v="12"/>
    <x v="5"/>
    <x v="0"/>
    <x v="155"/>
    <d v="2025-06-26T00:00:00"/>
    <n v="3"/>
    <x v="3"/>
    <x v="24"/>
    <n v="3527.16"/>
    <n v="0.7"/>
    <n v="2469.0119999999997"/>
    <n v="1058.1480000000001"/>
    <x v="0"/>
    <m/>
  </r>
  <r>
    <s v="PAT-3572"/>
    <s v="Richard Thomas"/>
    <n v="35"/>
    <x v="2"/>
    <x v="0"/>
    <x v="194"/>
    <d v="2025-07-29T00:00:00"/>
    <n v="3"/>
    <x v="1"/>
    <x v="36"/>
    <n v="5342.79"/>
    <n v="0.7"/>
    <n v="3739.9529999999995"/>
    <n v="1602.8370000000004"/>
    <x v="0"/>
    <m/>
  </r>
  <r>
    <s v="PAT-3573"/>
    <s v="Betty Jackson"/>
    <n v="30"/>
    <x v="2"/>
    <x v="1"/>
    <x v="390"/>
    <d v="2024-08-31T00:00:00"/>
    <n v="12"/>
    <x v="4"/>
    <x v="14"/>
    <n v="30203.49"/>
    <n v="1"/>
    <n v="30203.49"/>
    <n v="0"/>
    <x v="1"/>
    <m/>
  </r>
  <r>
    <s v="PAT-3574"/>
    <s v="Joshua Clark"/>
    <n v="69"/>
    <x v="1"/>
    <x v="0"/>
    <x v="391"/>
    <d v="2024-05-01T00:00:00"/>
    <n v="6"/>
    <x v="4"/>
    <x v="14"/>
    <n v="7312.84"/>
    <n v="0.7"/>
    <n v="5118.9879999999994"/>
    <n v="2193.8520000000008"/>
    <x v="1"/>
    <m/>
  </r>
  <r>
    <s v="PAT-3575"/>
    <s v="Sarah Robinson"/>
    <n v="34"/>
    <x v="2"/>
    <x v="1"/>
    <x v="235"/>
    <d v="2024-06-04T00:00:00"/>
    <n v="4"/>
    <x v="2"/>
    <x v="33"/>
    <n v="4926.28"/>
    <n v="0.9"/>
    <n v="4433.652"/>
    <n v="492.6279999999997"/>
    <x v="0"/>
    <m/>
  </r>
  <r>
    <s v="PAT-3576"/>
    <s v="Kimberly Moore"/>
    <n v="84"/>
    <x v="1"/>
    <x v="1"/>
    <x v="269"/>
    <d v="2025-09-08T00:00:00"/>
    <n v="2"/>
    <x v="1"/>
    <x v="3"/>
    <n v="3526.66"/>
    <n v="1"/>
    <n v="3526.66"/>
    <n v="0"/>
    <x v="2"/>
    <m/>
  </r>
  <r>
    <s v="PAT-3577"/>
    <s v="Kimberly Jones"/>
    <n v="76"/>
    <x v="1"/>
    <x v="1"/>
    <x v="392"/>
    <d v="2025-05-04T00:00:00"/>
    <n v="4"/>
    <x v="2"/>
    <x v="21"/>
    <n v="3004.47"/>
    <n v="0.8"/>
    <n v="2403.576"/>
    <n v="600.89399999999978"/>
    <x v="0"/>
    <m/>
  </r>
  <r>
    <s v="PAT-3578"/>
    <s v="Michael Brown"/>
    <n v="55"/>
    <x v="0"/>
    <x v="0"/>
    <x v="136"/>
    <d v="2025-05-23T00:00:00"/>
    <n v="1"/>
    <x v="1"/>
    <x v="31"/>
    <n v="988.47"/>
    <n v="0.9"/>
    <n v="889.62300000000005"/>
    <n v="98.84699999999998"/>
    <x v="0"/>
    <m/>
  </r>
  <r>
    <s v="PAT-3579"/>
    <s v="Jennifer Lee"/>
    <n v="63"/>
    <x v="0"/>
    <x v="1"/>
    <x v="286"/>
    <d v="2025-07-14T00:00:00"/>
    <n v="7"/>
    <x v="0"/>
    <x v="29"/>
    <n v="8993.9699999999993"/>
    <n v="0.6"/>
    <n v="5396.3819999999996"/>
    <n v="3597.5879999999997"/>
    <x v="0"/>
    <m/>
  </r>
  <r>
    <s v="PAT-3580"/>
    <s v="Anthony Moore"/>
    <n v="66"/>
    <x v="1"/>
    <x v="0"/>
    <x v="393"/>
    <d v="2025-07-05T00:00:00"/>
    <n v="4"/>
    <x v="0"/>
    <x v="19"/>
    <n v="7934.14"/>
    <n v="0.8"/>
    <n v="6347.3120000000008"/>
    <n v="1586.8279999999995"/>
    <x v="0"/>
    <m/>
  </r>
  <r>
    <s v="PAT-3581"/>
    <s v="Elizabeth Thomas"/>
    <n v="35"/>
    <x v="2"/>
    <x v="1"/>
    <x v="394"/>
    <d v="2025-09-26T00:00:00"/>
    <n v="3"/>
    <x v="1"/>
    <x v="32"/>
    <n v="2517.29"/>
    <n v="0.8"/>
    <n v="2013.8320000000001"/>
    <n v="503.45799999999986"/>
    <x v="0"/>
    <m/>
  </r>
  <r>
    <s v="PAT-3582"/>
    <s v="William Hernandez"/>
    <n v="48"/>
    <x v="0"/>
    <x v="0"/>
    <x v="395"/>
    <d v="2024-07-08T00:00:00"/>
    <n v="8"/>
    <x v="0"/>
    <x v="0"/>
    <n v="12873.58"/>
    <n v="0.7"/>
    <n v="9011.5059999999994"/>
    <n v="3862.0740000000005"/>
    <x v="1"/>
    <m/>
  </r>
  <r>
    <s v="PAT-3583"/>
    <s v="Barbara Martin"/>
    <n v="73"/>
    <x v="1"/>
    <x v="1"/>
    <x v="269"/>
    <d v="2025-09-10T00:00:00"/>
    <n v="4"/>
    <x v="2"/>
    <x v="4"/>
    <n v="5208.9799999999996"/>
    <n v="0.8"/>
    <n v="4167.1840000000002"/>
    <n v="1041.7959999999994"/>
    <x v="0"/>
    <m/>
  </r>
  <r>
    <s v="PAT-3584"/>
    <s v="Joseph Davis"/>
    <n v="80"/>
    <x v="1"/>
    <x v="0"/>
    <x v="396"/>
    <d v="2024-07-25T00:00:00"/>
    <n v="9"/>
    <x v="0"/>
    <x v="1"/>
    <n v="16136.12"/>
    <n v="1"/>
    <n v="16136.12"/>
    <n v="0"/>
    <x v="0"/>
    <m/>
  </r>
  <r>
    <s v="PAT-3585"/>
    <s v="Lisa Thomas"/>
    <n v="10"/>
    <x v="3"/>
    <x v="1"/>
    <x v="397"/>
    <d v="2025-08-08T00:00:00"/>
    <n v="4"/>
    <x v="3"/>
    <x v="23"/>
    <n v="4827.5"/>
    <n v="0.8"/>
    <n v="3862"/>
    <n v="965.5"/>
    <x v="2"/>
    <m/>
  </r>
  <r>
    <s v="PAT-3586"/>
    <s v="Kenneth Jones"/>
    <n v="19"/>
    <x v="2"/>
    <x v="0"/>
    <x v="252"/>
    <d v="2025-07-15T00:00:00"/>
    <n v="3"/>
    <x v="1"/>
    <x v="3"/>
    <n v="6858.75"/>
    <n v="0.8"/>
    <n v="5487"/>
    <n v="1371.75"/>
    <x v="1"/>
    <m/>
  </r>
  <r>
    <s v="PAT-3587"/>
    <s v="Lisa Smith"/>
    <n v="9"/>
    <x v="3"/>
    <x v="1"/>
    <x v="88"/>
    <d v="2024-11-21T00:00:00"/>
    <n v="5"/>
    <x v="3"/>
    <x v="24"/>
    <n v="6485.39"/>
    <n v="0.7"/>
    <n v="4539.7730000000001"/>
    <n v="1945.6170000000002"/>
    <x v="2"/>
    <m/>
  </r>
  <r>
    <s v="PAT-3588"/>
    <s v="Anthony Miller"/>
    <n v="71"/>
    <x v="1"/>
    <x v="0"/>
    <x v="398"/>
    <d v="2024-07-29T00:00:00"/>
    <n v="4"/>
    <x v="2"/>
    <x v="10"/>
    <n v="5888.84"/>
    <n v="0.6"/>
    <n v="3533.3040000000001"/>
    <n v="2355.5360000000001"/>
    <x v="0"/>
    <m/>
  </r>
  <r>
    <s v="PAT-3589"/>
    <s v="William Lopez"/>
    <n v="57"/>
    <x v="0"/>
    <x v="0"/>
    <x v="70"/>
    <d v="2025-04-02T00:00:00"/>
    <n v="1"/>
    <x v="2"/>
    <x v="21"/>
    <n v="988.37"/>
    <n v="0.9"/>
    <n v="889.53300000000002"/>
    <n v="98.836999999999989"/>
    <x v="0"/>
    <m/>
  </r>
  <r>
    <s v="PAT-3590"/>
    <s v="Thomas Harris"/>
    <n v="41"/>
    <x v="2"/>
    <x v="0"/>
    <x v="377"/>
    <d v="2024-01-26T00:00:00"/>
    <n v="13"/>
    <x v="4"/>
    <x v="26"/>
    <n v="20871.689999999999"/>
    <n v="0.6"/>
    <n v="12523.013999999999"/>
    <n v="8348.6759999999995"/>
    <x v="2"/>
    <m/>
  </r>
  <r>
    <s v="PAT-3591"/>
    <s v="Lisa Jackson"/>
    <n v="44"/>
    <x v="2"/>
    <x v="1"/>
    <x v="142"/>
    <d v="2025-10-02T00:00:00"/>
    <n v="6"/>
    <x v="5"/>
    <x v="28"/>
    <n v="14061.87"/>
    <n v="0.5"/>
    <n v="7030.9350000000004"/>
    <n v="7030.9350000000004"/>
    <x v="0"/>
    <m/>
  </r>
  <r>
    <s v="PAT-3592"/>
    <s v="Andrew Hernandez"/>
    <n v="74"/>
    <x v="1"/>
    <x v="0"/>
    <x v="238"/>
    <d v="2024-09-27T00:00:00"/>
    <n v="3"/>
    <x v="2"/>
    <x v="5"/>
    <n v="3702.92"/>
    <n v="0.7"/>
    <n v="2592.0439999999999"/>
    <n v="1110.8760000000002"/>
    <x v="1"/>
    <m/>
  </r>
  <r>
    <s v="PAT-3593"/>
    <s v="Christopher Jackson"/>
    <n v="42"/>
    <x v="2"/>
    <x v="0"/>
    <x v="133"/>
    <d v="2024-04-04T00:00:00"/>
    <n v="4"/>
    <x v="0"/>
    <x v="19"/>
    <n v="6940.9"/>
    <n v="0.7"/>
    <n v="4858.6299999999992"/>
    <n v="2082.2700000000004"/>
    <x v="0"/>
    <m/>
  </r>
  <r>
    <s v="PAT-3594"/>
    <s v="Joseph Clark"/>
    <n v="74"/>
    <x v="1"/>
    <x v="0"/>
    <x v="132"/>
    <d v="2025-07-20T00:00:00"/>
    <n v="9"/>
    <x v="0"/>
    <x v="1"/>
    <n v="25312.2"/>
    <n v="0.7"/>
    <n v="17718.54"/>
    <n v="7593.66"/>
    <x v="1"/>
    <m/>
  </r>
  <r>
    <s v="PAT-3595"/>
    <s v="Brian Clark"/>
    <n v="20"/>
    <x v="2"/>
    <x v="0"/>
    <x v="399"/>
    <d v="2025-03-26T00:00:00"/>
    <n v="3"/>
    <x v="1"/>
    <x v="31"/>
    <n v="4859.2700000000004"/>
    <n v="0.6"/>
    <n v="2915.5620000000004"/>
    <n v="1943.7080000000001"/>
    <x v="1"/>
    <m/>
  </r>
  <r>
    <s v="PAT-3596"/>
    <s v="Dorothy Garcia"/>
    <n v="7"/>
    <x v="3"/>
    <x v="1"/>
    <x v="400"/>
    <d v="2025-01-01T00:00:00"/>
    <n v="4"/>
    <x v="3"/>
    <x v="25"/>
    <n v="5071.3900000000003"/>
    <n v="0.9"/>
    <n v="4564.2510000000002"/>
    <n v="507.13900000000012"/>
    <x v="2"/>
    <m/>
  </r>
  <r>
    <s v="PAT-3597"/>
    <s v="Dorothy Robinson"/>
    <n v="46"/>
    <x v="0"/>
    <x v="1"/>
    <x v="401"/>
    <d v="2024-04-13T00:00:00"/>
    <n v="1"/>
    <x v="2"/>
    <x v="8"/>
    <n v="826.69"/>
    <n v="0.8"/>
    <n v="661.35200000000009"/>
    <n v="165.33799999999997"/>
    <x v="0"/>
    <m/>
  </r>
  <r>
    <s v="PAT-3598"/>
    <s v="Kenneth Thomas"/>
    <n v="75"/>
    <x v="1"/>
    <x v="0"/>
    <x v="30"/>
    <d v="2024-06-26T00:00:00"/>
    <n v="3"/>
    <x v="1"/>
    <x v="2"/>
    <n v="3573.44"/>
    <n v="0.8"/>
    <n v="2858.7520000000004"/>
    <n v="714.68799999999965"/>
    <x v="0"/>
    <m/>
  </r>
  <r>
    <s v="PAT-3599"/>
    <s v="Betty Davis"/>
    <n v="17"/>
    <x v="5"/>
    <x v="1"/>
    <x v="4"/>
    <d v="2024-11-27T00:00:00"/>
    <n v="2"/>
    <x v="3"/>
    <x v="25"/>
    <n v="3120.86"/>
    <n v="0.7"/>
    <n v="2184.6019999999999"/>
    <n v="936.25800000000027"/>
    <x v="0"/>
    <m/>
  </r>
  <r>
    <s v="PAT-3600"/>
    <s v="Jessica Anderson"/>
    <n v="36"/>
    <x v="2"/>
    <x v="1"/>
    <x v="402"/>
    <d v="2025-03-26T00:00:00"/>
    <n v="1"/>
    <x v="1"/>
    <x v="32"/>
    <n v="1050.82"/>
    <n v="0.7"/>
    <n v="735.57399999999996"/>
    <n v="315.24599999999998"/>
    <x v="1"/>
    <m/>
  </r>
  <r>
    <s v="PAT-3601"/>
    <s v="Barbara Hernandez"/>
    <n v="58"/>
    <x v="0"/>
    <x v="1"/>
    <x v="403"/>
    <d v="2024-03-20T00:00:00"/>
    <n v="3"/>
    <x v="1"/>
    <x v="2"/>
    <n v="4246.95"/>
    <n v="0.7"/>
    <n v="2972.8649999999998"/>
    <n v="1274.085"/>
    <x v="2"/>
    <m/>
  </r>
  <r>
    <s v="PAT-3602"/>
    <s v="Daniel Moore"/>
    <n v="24"/>
    <x v="2"/>
    <x v="0"/>
    <x v="404"/>
    <d v="2025-09-21T00:00:00"/>
    <n v="3"/>
    <x v="1"/>
    <x v="36"/>
    <n v="3111.41"/>
    <n v="0.9"/>
    <n v="2800.2689999999998"/>
    <n v="311.14100000000008"/>
    <x v="0"/>
    <m/>
  </r>
  <r>
    <s v="PAT-3603"/>
    <s v="Ashley Moore"/>
    <n v="56"/>
    <x v="0"/>
    <x v="1"/>
    <x v="100"/>
    <d v="2024-12-09T00:00:00"/>
    <n v="5"/>
    <x v="2"/>
    <x v="4"/>
    <n v="6980.98"/>
    <n v="0.9"/>
    <n v="6282.8819999999996"/>
    <n v="698.09799999999996"/>
    <x v="0"/>
    <m/>
  </r>
  <r>
    <s v="PAT-3604"/>
    <s v="Paul Smith"/>
    <n v="41"/>
    <x v="2"/>
    <x v="0"/>
    <x v="405"/>
    <d v="2024-02-17T00:00:00"/>
    <n v="9"/>
    <x v="5"/>
    <x v="30"/>
    <n v="11620.41"/>
    <n v="1"/>
    <n v="11620.41"/>
    <n v="0"/>
    <x v="0"/>
    <m/>
  </r>
  <r>
    <s v="PAT-3605"/>
    <s v="Donna Ramirez"/>
    <n v="50"/>
    <x v="0"/>
    <x v="1"/>
    <x v="406"/>
    <d v="2025-07-25T00:00:00"/>
    <n v="3"/>
    <x v="1"/>
    <x v="3"/>
    <n v="3974.41"/>
    <n v="0.5"/>
    <n v="1987.2049999999999"/>
    <n v="1987.2049999999999"/>
    <x v="0"/>
    <m/>
  </r>
  <r>
    <s v="PAT-3606"/>
    <s v="Richard Robinson"/>
    <n v="72"/>
    <x v="1"/>
    <x v="0"/>
    <x v="407"/>
    <d v="2024-06-16T00:00:00"/>
    <n v="6"/>
    <x v="5"/>
    <x v="28"/>
    <n v="14702.17"/>
    <n v="0.8"/>
    <n v="11761.736000000001"/>
    <n v="2940.4339999999993"/>
    <x v="1"/>
    <m/>
  </r>
  <r>
    <s v="PAT-3607"/>
    <s v="Thomas Perez"/>
    <n v="41"/>
    <x v="2"/>
    <x v="0"/>
    <x v="408"/>
    <d v="2025-05-25T00:00:00"/>
    <n v="7"/>
    <x v="0"/>
    <x v="29"/>
    <n v="17086.830000000002"/>
    <n v="0.9"/>
    <n v="15378.147000000003"/>
    <n v="1708.6829999999991"/>
    <x v="0"/>
    <m/>
  </r>
  <r>
    <s v="PAT-3608"/>
    <s v="Richard Anderson"/>
    <n v="24"/>
    <x v="2"/>
    <x v="0"/>
    <x v="377"/>
    <d v="2024-01-14T00:00:00"/>
    <n v="1"/>
    <x v="1"/>
    <x v="15"/>
    <n v="867.61"/>
    <n v="1"/>
    <n v="867.61"/>
    <n v="0"/>
    <x v="0"/>
    <m/>
  </r>
  <r>
    <s v="PAT-3609"/>
    <s v="Dorothy Martin"/>
    <n v="51"/>
    <x v="0"/>
    <x v="1"/>
    <x v="213"/>
    <d v="2025-04-23T00:00:00"/>
    <n v="6"/>
    <x v="2"/>
    <x v="4"/>
    <n v="4084.48"/>
    <n v="0.8"/>
    <n v="3267.5840000000003"/>
    <n v="816.89599999999973"/>
    <x v="0"/>
    <m/>
  </r>
  <r>
    <s v="PAT-3610"/>
    <s v="Kimberly Lee"/>
    <n v="84"/>
    <x v="1"/>
    <x v="1"/>
    <x v="94"/>
    <d v="2025-07-28T00:00:00"/>
    <n v="1"/>
    <x v="2"/>
    <x v="5"/>
    <n v="1290.53"/>
    <n v="0.9"/>
    <n v="1161.4770000000001"/>
    <n v="129.05299999999988"/>
    <x v="0"/>
    <m/>
  </r>
  <r>
    <s v="PAT-3611"/>
    <s v="Ashley Martinez"/>
    <n v="3"/>
    <x v="3"/>
    <x v="1"/>
    <x v="38"/>
    <d v="2024-12-21T00:00:00"/>
    <n v="4"/>
    <x v="3"/>
    <x v="24"/>
    <n v="3707.94"/>
    <n v="0.9"/>
    <n v="3337.1460000000002"/>
    <n v="370.79399999999987"/>
    <x v="0"/>
    <m/>
  </r>
  <r>
    <s v="PAT-3612"/>
    <s v="Joseph Jones"/>
    <n v="57"/>
    <x v="0"/>
    <x v="0"/>
    <x v="409"/>
    <d v="2025-05-11T00:00:00"/>
    <n v="9"/>
    <x v="5"/>
    <x v="12"/>
    <n v="15346.13"/>
    <n v="0.8"/>
    <n v="12276.904"/>
    <n v="3069.2259999999987"/>
    <x v="0"/>
    <m/>
  </r>
  <r>
    <s v="PAT-3613"/>
    <s v="Sarah Moore"/>
    <n v="45"/>
    <x v="0"/>
    <x v="1"/>
    <x v="125"/>
    <d v="2025-04-07T00:00:00"/>
    <n v="5"/>
    <x v="2"/>
    <x v="10"/>
    <n v="4821.37"/>
    <n v="0.8"/>
    <n v="3857.096"/>
    <n v="964.27399999999989"/>
    <x v="0"/>
    <m/>
  </r>
  <r>
    <s v="PAT-3614"/>
    <s v="Paul Hernandez"/>
    <n v="69"/>
    <x v="1"/>
    <x v="0"/>
    <x v="410"/>
    <d v="2025-09-01T00:00:00"/>
    <n v="7"/>
    <x v="0"/>
    <x v="19"/>
    <n v="15787.69"/>
    <n v="1"/>
    <n v="15787.69"/>
    <n v="0"/>
    <x v="0"/>
    <m/>
  </r>
  <r>
    <s v="PAT-3615"/>
    <s v="Kimberly Jones"/>
    <n v="14"/>
    <x v="5"/>
    <x v="1"/>
    <x v="394"/>
    <d v="2025-09-26T00:00:00"/>
    <n v="3"/>
    <x v="3"/>
    <x v="23"/>
    <n v="5118.0600000000004"/>
    <n v="0.8"/>
    <n v="4094.4480000000003"/>
    <n v="1023.6120000000001"/>
    <x v="0"/>
    <m/>
  </r>
  <r>
    <s v="PAT-3616"/>
    <s v="Sandra Lewis"/>
    <n v="36"/>
    <x v="2"/>
    <x v="1"/>
    <x v="38"/>
    <d v="2024-12-18T00:00:00"/>
    <n v="1"/>
    <x v="1"/>
    <x v="7"/>
    <n v="1184.98"/>
    <n v="0.8"/>
    <n v="947.98400000000004"/>
    <n v="236.99599999999998"/>
    <x v="0"/>
    <m/>
  </r>
  <r>
    <s v="PAT-3617"/>
    <s v="Nancy Martinez"/>
    <n v="16"/>
    <x v="5"/>
    <x v="1"/>
    <x v="411"/>
    <d v="2024-01-29T00:00:00"/>
    <n v="3"/>
    <x v="3"/>
    <x v="37"/>
    <n v="2558.2800000000002"/>
    <n v="0.9"/>
    <n v="2302.4520000000002"/>
    <n v="255.82799999999997"/>
    <x v="0"/>
    <m/>
  </r>
  <r>
    <s v="PAT-3618"/>
    <s v="Daniel Robinson"/>
    <n v="76"/>
    <x v="1"/>
    <x v="0"/>
    <x v="268"/>
    <d v="2025-01-16T00:00:00"/>
    <n v="3"/>
    <x v="0"/>
    <x v="20"/>
    <n v="3998.34"/>
    <n v="1"/>
    <n v="3998.34"/>
    <n v="0"/>
    <x v="0"/>
    <m/>
  </r>
  <r>
    <s v="PAT-3619"/>
    <s v="Lisa Brown"/>
    <n v="68"/>
    <x v="1"/>
    <x v="1"/>
    <x v="175"/>
    <d v="2024-12-03T00:00:00"/>
    <n v="3"/>
    <x v="4"/>
    <x v="13"/>
    <n v="4286.6400000000003"/>
    <n v="0.7"/>
    <n v="3000.6480000000001"/>
    <n v="1285.9920000000002"/>
    <x v="1"/>
    <m/>
  </r>
  <r>
    <s v="PAT-3620"/>
    <s v="Mary Garcia"/>
    <n v="73"/>
    <x v="1"/>
    <x v="1"/>
    <x v="412"/>
    <d v="2025-11-04T00:00:00"/>
    <n v="9"/>
    <x v="0"/>
    <x v="6"/>
    <n v="21392.04"/>
    <n v="0.8"/>
    <n v="17113.632000000001"/>
    <n v="4278.4079999999994"/>
    <x v="0"/>
    <m/>
  </r>
  <r>
    <s v="PAT-3621"/>
    <s v="Robert Ramirez"/>
    <n v="37"/>
    <x v="2"/>
    <x v="0"/>
    <x v="353"/>
    <d v="2025-11-24T00:00:00"/>
    <n v="2"/>
    <x v="1"/>
    <x v="7"/>
    <n v="3201.39"/>
    <n v="0.8"/>
    <n v="2561.1120000000001"/>
    <n v="640.27799999999979"/>
    <x v="0"/>
    <m/>
  </r>
  <r>
    <s v="PAT-3622"/>
    <s v="Anthony Clark"/>
    <n v="11"/>
    <x v="3"/>
    <x v="0"/>
    <x v="413"/>
    <d v="2024-07-30T00:00:00"/>
    <n v="2"/>
    <x v="3"/>
    <x v="23"/>
    <n v="3300.07"/>
    <n v="1"/>
    <n v="3300.07"/>
    <n v="0"/>
    <x v="0"/>
    <m/>
  </r>
  <r>
    <s v="PAT-3623"/>
    <s v="Paul Martinez"/>
    <n v="7"/>
    <x v="3"/>
    <x v="0"/>
    <x v="414"/>
    <d v="2025-06-05T00:00:00"/>
    <n v="1"/>
    <x v="3"/>
    <x v="24"/>
    <n v="784.49"/>
    <n v="0.9"/>
    <n v="706.04100000000005"/>
    <n v="78.448999999999955"/>
    <x v="0"/>
    <m/>
  </r>
  <r>
    <s v="PAT-3624"/>
    <s v="Brian Lopez"/>
    <n v="26"/>
    <x v="2"/>
    <x v="0"/>
    <x v="15"/>
    <d v="2025-02-08T00:00:00"/>
    <n v="1"/>
    <x v="2"/>
    <x v="8"/>
    <n v="1170.5999999999999"/>
    <n v="0.8"/>
    <n v="936.48"/>
    <n v="234.11999999999989"/>
    <x v="0"/>
    <m/>
  </r>
  <r>
    <s v="PAT-3625"/>
    <s v="Richard Rodriguez"/>
    <n v="61"/>
    <x v="0"/>
    <x v="0"/>
    <x v="415"/>
    <d v="2024-11-08T00:00:00"/>
    <n v="4"/>
    <x v="0"/>
    <x v="0"/>
    <n v="11503.8"/>
    <n v="0.6"/>
    <n v="6902.28"/>
    <n v="4601.5199999999995"/>
    <x v="2"/>
    <m/>
  </r>
  <r>
    <s v="PAT-3626"/>
    <s v="Jessica Ramirez"/>
    <n v="8"/>
    <x v="3"/>
    <x v="1"/>
    <x v="416"/>
    <d v="2025-06-30T00:00:00"/>
    <n v="2"/>
    <x v="3"/>
    <x v="25"/>
    <n v="1522.86"/>
    <n v="0.9"/>
    <n v="1370.5739999999998"/>
    <n v="152.28600000000006"/>
    <x v="1"/>
    <m/>
  </r>
  <r>
    <s v="PAT-3627"/>
    <s v="Sandra Jackson"/>
    <n v="78"/>
    <x v="1"/>
    <x v="1"/>
    <x v="177"/>
    <d v="2025-02-27T00:00:00"/>
    <n v="10"/>
    <x v="5"/>
    <x v="17"/>
    <n v="22757.119999999999"/>
    <n v="0.9"/>
    <n v="20481.407999999999"/>
    <n v="2275.7119999999995"/>
    <x v="0"/>
    <m/>
  </r>
  <r>
    <s v="PAT-3628"/>
    <s v="Daniel Jones"/>
    <n v="11"/>
    <x v="3"/>
    <x v="0"/>
    <x v="417"/>
    <d v="2024-09-06T00:00:00"/>
    <n v="5"/>
    <x v="3"/>
    <x v="24"/>
    <n v="3197.15"/>
    <n v="0.7"/>
    <n v="2238.0050000000001"/>
    <n v="959.14499999999998"/>
    <x v="2"/>
    <m/>
  </r>
  <r>
    <s v="PAT-3629"/>
    <s v="Sarah Ramirez"/>
    <n v="73"/>
    <x v="1"/>
    <x v="1"/>
    <x v="303"/>
    <d v="2024-05-31T00:00:00"/>
    <n v="2"/>
    <x v="2"/>
    <x v="4"/>
    <n v="2710.85"/>
    <n v="0.6"/>
    <n v="1626.51"/>
    <n v="1084.3399999999999"/>
    <x v="1"/>
    <m/>
  </r>
  <r>
    <s v="PAT-3630"/>
    <s v="Michelle Young"/>
    <n v="84"/>
    <x v="1"/>
    <x v="1"/>
    <x v="404"/>
    <d v="2025-09-20T00:00:00"/>
    <n v="2"/>
    <x v="1"/>
    <x v="31"/>
    <n v="4532.09"/>
    <n v="0.9"/>
    <n v="4078.8810000000003"/>
    <n v="453.20899999999983"/>
    <x v="1"/>
    <m/>
  </r>
  <r>
    <s v="PAT-3631"/>
    <s v="Daniel Hernandez"/>
    <n v="43"/>
    <x v="2"/>
    <x v="0"/>
    <x v="300"/>
    <d v="2025-07-22T00:00:00"/>
    <n v="3"/>
    <x v="4"/>
    <x v="11"/>
    <n v="4972.62"/>
    <n v="0.8"/>
    <n v="3978.096"/>
    <n v="994.52399999999989"/>
    <x v="0"/>
    <m/>
  </r>
  <r>
    <s v="PAT-3632"/>
    <s v="Robert Rodriguez"/>
    <n v="1"/>
    <x v="6"/>
    <x v="0"/>
    <x v="418"/>
    <d v="2024-11-15T00:00:00"/>
    <n v="2"/>
    <x v="3"/>
    <x v="37"/>
    <n v="3235.05"/>
    <n v="0.7"/>
    <n v="2264.5349999999999"/>
    <n v="970.51500000000033"/>
    <x v="0"/>
    <m/>
  </r>
  <r>
    <s v="PAT-3633"/>
    <s v="Emily Jones"/>
    <n v="49"/>
    <x v="0"/>
    <x v="1"/>
    <x v="270"/>
    <d v="2025-10-09T00:00:00"/>
    <n v="2"/>
    <x v="2"/>
    <x v="21"/>
    <n v="2401.17"/>
    <n v="0.9"/>
    <n v="2161.0530000000003"/>
    <n v="240.11699999999973"/>
    <x v="1"/>
    <m/>
  </r>
  <r>
    <s v="PAT-3634"/>
    <s v="Donna Garcia"/>
    <n v="51"/>
    <x v="0"/>
    <x v="1"/>
    <x v="419"/>
    <d v="2024-05-19T00:00:00"/>
    <n v="12"/>
    <x v="4"/>
    <x v="27"/>
    <n v="33210.050000000003"/>
    <n v="0.8"/>
    <n v="26568.040000000005"/>
    <n v="6642.0099999999984"/>
    <x v="1"/>
    <m/>
  </r>
  <r>
    <s v="PAT-3635"/>
    <s v="Donna Lewis"/>
    <n v="73"/>
    <x v="1"/>
    <x v="1"/>
    <x v="38"/>
    <d v="2024-12-27T00:00:00"/>
    <n v="10"/>
    <x v="4"/>
    <x v="13"/>
    <n v="23689.65"/>
    <n v="0.9"/>
    <n v="21320.685000000001"/>
    <n v="2368.9650000000001"/>
    <x v="0"/>
    <m/>
  </r>
  <r>
    <s v="PAT-3636"/>
    <s v="Steven Thompson"/>
    <n v="26"/>
    <x v="2"/>
    <x v="0"/>
    <x v="420"/>
    <d v="2025-11-02T00:00:00"/>
    <n v="3"/>
    <x v="2"/>
    <x v="4"/>
    <n v="2927.98"/>
    <n v="1"/>
    <n v="2927.98"/>
    <n v="0"/>
    <x v="0"/>
    <m/>
  </r>
  <r>
    <s v="PAT-3637"/>
    <s v="Karen Thomas"/>
    <n v="58"/>
    <x v="0"/>
    <x v="1"/>
    <x v="421"/>
    <d v="2025-04-22T00:00:00"/>
    <n v="9"/>
    <x v="0"/>
    <x v="19"/>
    <n v="10908.77"/>
    <n v="0.9"/>
    <n v="9817.893"/>
    <n v="1090.8770000000004"/>
    <x v="1"/>
    <m/>
  </r>
  <r>
    <s v="PAT-3638"/>
    <s v="Thomas Martinez"/>
    <n v="65"/>
    <x v="1"/>
    <x v="0"/>
    <x v="107"/>
    <d v="2024-07-10T00:00:00"/>
    <n v="5"/>
    <x v="0"/>
    <x v="1"/>
    <n v="9405.2000000000007"/>
    <n v="0.7"/>
    <n v="6583.64"/>
    <n v="2821.5600000000004"/>
    <x v="1"/>
    <m/>
  </r>
  <r>
    <s v="PAT-3639"/>
    <s v="Jennifer Harris"/>
    <n v="37"/>
    <x v="2"/>
    <x v="1"/>
    <x v="247"/>
    <d v="2025-08-27T00:00:00"/>
    <n v="8"/>
    <x v="5"/>
    <x v="12"/>
    <n v="11960.8"/>
    <n v="0.8"/>
    <n v="9568.64"/>
    <n v="2392.16"/>
    <x v="0"/>
    <m/>
  </r>
  <r>
    <s v="PAT-3640"/>
    <s v="Michael Garcia"/>
    <n v="68"/>
    <x v="1"/>
    <x v="0"/>
    <x v="422"/>
    <d v="2024-09-03T00:00:00"/>
    <n v="1"/>
    <x v="2"/>
    <x v="8"/>
    <n v="1174.7"/>
    <n v="0.9"/>
    <n v="1057.23"/>
    <n v="117.47000000000003"/>
    <x v="1"/>
    <m/>
  </r>
  <r>
    <s v="PAT-3641"/>
    <s v="Kenneth Lee"/>
    <n v="41"/>
    <x v="2"/>
    <x v="0"/>
    <x v="423"/>
    <d v="2024-01-30T00:00:00"/>
    <n v="7"/>
    <x v="2"/>
    <x v="33"/>
    <n v="6487.34"/>
    <n v="0.8"/>
    <n v="5189.8720000000003"/>
    <n v="1297.4679999999998"/>
    <x v="0"/>
    <m/>
  </r>
  <r>
    <s v="PAT-3642"/>
    <s v="Anthony Moore"/>
    <n v="40"/>
    <x v="2"/>
    <x v="0"/>
    <x v="65"/>
    <d v="2025-04-07T00:00:00"/>
    <n v="2"/>
    <x v="1"/>
    <x v="36"/>
    <n v="3282.55"/>
    <n v="0.7"/>
    <n v="2297.7849999999999"/>
    <n v="984.76500000000033"/>
    <x v="1"/>
    <m/>
  </r>
  <r>
    <s v="PAT-3643"/>
    <s v="Ashley Jones"/>
    <n v="55"/>
    <x v="0"/>
    <x v="1"/>
    <x v="198"/>
    <d v="2025-03-06T00:00:00"/>
    <n v="6"/>
    <x v="4"/>
    <x v="14"/>
    <n v="13468.92"/>
    <n v="0.8"/>
    <n v="10775.136"/>
    <n v="2693.7839999999997"/>
    <x v="0"/>
    <m/>
  </r>
  <r>
    <s v="PAT-3644"/>
    <s v="Thomas Thompson"/>
    <n v="76"/>
    <x v="1"/>
    <x v="0"/>
    <x v="230"/>
    <d v="2025-08-04T00:00:00"/>
    <n v="5"/>
    <x v="0"/>
    <x v="0"/>
    <n v="7431.19"/>
    <n v="0.8"/>
    <n v="5944.9520000000002"/>
    <n v="1486.2379999999994"/>
    <x v="1"/>
    <m/>
  </r>
  <r>
    <s v="PAT-3645"/>
    <s v="Nancy Davis"/>
    <n v="77"/>
    <x v="1"/>
    <x v="1"/>
    <x v="88"/>
    <d v="2024-11-20T00:00:00"/>
    <n v="4"/>
    <x v="5"/>
    <x v="17"/>
    <n v="4416.84"/>
    <n v="0.8"/>
    <n v="3533.4720000000002"/>
    <n v="883.36799999999994"/>
    <x v="2"/>
    <m/>
  </r>
  <r>
    <s v="PAT-3646"/>
    <s v="Michael Johnson"/>
    <n v="77"/>
    <x v="1"/>
    <x v="0"/>
    <x v="10"/>
    <d v="2025-11-07T00:00:00"/>
    <n v="1"/>
    <x v="1"/>
    <x v="2"/>
    <n v="1265.79"/>
    <n v="0.8"/>
    <n v="1012.6320000000001"/>
    <n v="253.1579999999999"/>
    <x v="1"/>
    <m/>
  </r>
  <r>
    <s v="PAT-3647"/>
    <s v="Linda Davis"/>
    <n v="47"/>
    <x v="0"/>
    <x v="1"/>
    <x v="184"/>
    <d v="2024-08-10T00:00:00"/>
    <n v="5"/>
    <x v="2"/>
    <x v="21"/>
    <n v="7496.19"/>
    <n v="0.8"/>
    <n v="5996.9520000000002"/>
    <n v="1499.2379999999994"/>
    <x v="0"/>
    <m/>
  </r>
  <r>
    <s v="PAT-3648"/>
    <s v="Jennifer Jackson"/>
    <n v="46"/>
    <x v="0"/>
    <x v="1"/>
    <x v="424"/>
    <d v="2024-04-03T00:00:00"/>
    <n v="4"/>
    <x v="2"/>
    <x v="5"/>
    <n v="5991.42"/>
    <n v="1"/>
    <n v="5991.42"/>
    <n v="0"/>
    <x v="2"/>
    <m/>
  </r>
  <r>
    <s v="PAT-3649"/>
    <s v="Thomas Jones"/>
    <n v="62"/>
    <x v="0"/>
    <x v="0"/>
    <x v="315"/>
    <d v="2024-05-26T00:00:00"/>
    <n v="10"/>
    <x v="0"/>
    <x v="0"/>
    <n v="12878.2"/>
    <n v="0.8"/>
    <n v="10302.560000000001"/>
    <n v="2575.6399999999994"/>
    <x v="0"/>
    <m/>
  </r>
  <r>
    <s v="PAT-3650"/>
    <s v="Steven Walker"/>
    <n v="5"/>
    <x v="3"/>
    <x v="0"/>
    <x v="425"/>
    <d v="2025-12-21T00:00:00"/>
    <n v="4"/>
    <x v="3"/>
    <x v="25"/>
    <n v="4752.84"/>
    <n v="0.8"/>
    <n v="3802.2720000000004"/>
    <n v="950.56799999999976"/>
    <x v="0"/>
    <m/>
  </r>
  <r>
    <s v="PAT-3651"/>
    <s v="Thomas Robinson"/>
    <n v="34"/>
    <x v="2"/>
    <x v="0"/>
    <x v="56"/>
    <d v="2024-05-24T00:00:00"/>
    <n v="1"/>
    <x v="2"/>
    <x v="10"/>
    <n v="1394.75"/>
    <n v="0"/>
    <n v="0"/>
    <n v="1394.75"/>
    <x v="1"/>
    <m/>
  </r>
  <r>
    <s v="PAT-3652"/>
    <s v="Michael Thomas"/>
    <n v="59"/>
    <x v="0"/>
    <x v="0"/>
    <x v="273"/>
    <d v="2024-08-23T00:00:00"/>
    <n v="2"/>
    <x v="1"/>
    <x v="3"/>
    <n v="3366.33"/>
    <n v="0.7"/>
    <n v="2356.4309999999996"/>
    <n v="1009.8990000000003"/>
    <x v="1"/>
    <m/>
  </r>
  <r>
    <s v="PAT-3653"/>
    <s v="Sarah Young"/>
    <n v="65"/>
    <x v="1"/>
    <x v="1"/>
    <x v="84"/>
    <d v="2024-10-30T00:00:00"/>
    <n v="6"/>
    <x v="0"/>
    <x v="1"/>
    <n v="9890.23"/>
    <n v="0.8"/>
    <n v="7912.1840000000002"/>
    <n v="1978.0459999999994"/>
    <x v="0"/>
    <m/>
  </r>
  <r>
    <s v="PAT-3654"/>
    <s v="David Wilson"/>
    <n v="44"/>
    <x v="2"/>
    <x v="0"/>
    <x v="426"/>
    <d v="2024-04-01T00:00:00"/>
    <n v="4"/>
    <x v="0"/>
    <x v="0"/>
    <n v="10351.120000000001"/>
    <n v="0.8"/>
    <n v="8280.8960000000006"/>
    <n v="2070.2240000000002"/>
    <x v="1"/>
    <m/>
  </r>
  <r>
    <s v="PAT-3655"/>
    <s v="Steven Walker"/>
    <n v="17"/>
    <x v="5"/>
    <x v="0"/>
    <x v="427"/>
    <d v="2025-10-26T00:00:00"/>
    <n v="1"/>
    <x v="3"/>
    <x v="9"/>
    <n v="836.96"/>
    <n v="0.7"/>
    <n v="585.87199999999996"/>
    <n v="251.08800000000008"/>
    <x v="0"/>
    <m/>
  </r>
  <r>
    <s v="PAT-3656"/>
    <s v="Dorothy Perez"/>
    <n v="16"/>
    <x v="5"/>
    <x v="1"/>
    <x v="140"/>
    <d v="2024-07-28T00:00:00"/>
    <n v="5"/>
    <x v="3"/>
    <x v="22"/>
    <n v="6886.9"/>
    <n v="0.5"/>
    <n v="3443.45"/>
    <n v="3443.45"/>
    <x v="1"/>
    <m/>
  </r>
  <r>
    <s v="PAT-3657"/>
    <s v="Kenneth Perez"/>
    <n v="3"/>
    <x v="3"/>
    <x v="0"/>
    <x v="428"/>
    <d v="2024-04-11T00:00:00"/>
    <n v="5"/>
    <x v="3"/>
    <x v="24"/>
    <n v="7993.91"/>
    <n v="0.9"/>
    <n v="7194.5190000000002"/>
    <n v="799.39099999999962"/>
    <x v="2"/>
    <m/>
  </r>
  <r>
    <s v="PAT-3658"/>
    <s v="Richard Moore"/>
    <n v="79"/>
    <x v="1"/>
    <x v="0"/>
    <x v="142"/>
    <d v="2025-10-03T00:00:00"/>
    <n v="7"/>
    <x v="2"/>
    <x v="10"/>
    <n v="9475.6200000000008"/>
    <n v="0.9"/>
    <n v="8528.0580000000009"/>
    <n v="947.5619999999999"/>
    <x v="0"/>
    <m/>
  </r>
  <r>
    <s v="PAT-3659"/>
    <s v="Kenneth Davis"/>
    <n v="10"/>
    <x v="3"/>
    <x v="0"/>
    <x v="357"/>
    <d v="2025-11-19T00:00:00"/>
    <n v="5"/>
    <x v="3"/>
    <x v="22"/>
    <n v="8509.42"/>
    <n v="0"/>
    <n v="0"/>
    <n v="8509.42"/>
    <x v="0"/>
    <m/>
  </r>
  <r>
    <s v="PAT-3660"/>
    <s v="Robert Lopez"/>
    <n v="50"/>
    <x v="0"/>
    <x v="0"/>
    <x v="429"/>
    <d v="2024-12-17T00:00:00"/>
    <n v="8"/>
    <x v="4"/>
    <x v="14"/>
    <n v="20107.36"/>
    <n v="0.7"/>
    <n v="14075.152"/>
    <n v="6032.2080000000005"/>
    <x v="0"/>
    <m/>
  </r>
  <r>
    <s v="PAT-3661"/>
    <s v="Matthew Hernandez"/>
    <n v="29"/>
    <x v="2"/>
    <x v="0"/>
    <x v="178"/>
    <d v="2024-07-28T00:00:00"/>
    <n v="10"/>
    <x v="4"/>
    <x v="18"/>
    <n v="26732.79"/>
    <n v="0.8"/>
    <n v="21386.232000000004"/>
    <n v="5346.5579999999973"/>
    <x v="0"/>
    <m/>
  </r>
  <r>
    <s v="PAT-3662"/>
    <s v="Christopher Thompson"/>
    <n v="27"/>
    <x v="2"/>
    <x v="0"/>
    <x v="230"/>
    <d v="2025-07-31T00:00:00"/>
    <n v="1"/>
    <x v="1"/>
    <x v="7"/>
    <n v="2285.5"/>
    <n v="0.5"/>
    <n v="1142.75"/>
    <n v="1142.75"/>
    <x v="0"/>
    <m/>
  </r>
  <r>
    <s v="PAT-3663"/>
    <s v="Sarah Williams"/>
    <n v="11"/>
    <x v="3"/>
    <x v="1"/>
    <x v="430"/>
    <d v="2024-05-10T00:00:00"/>
    <n v="4"/>
    <x v="3"/>
    <x v="9"/>
    <n v="3830.25"/>
    <n v="0.9"/>
    <n v="3447.2249999999999"/>
    <n v="383.02500000000009"/>
    <x v="1"/>
    <m/>
  </r>
  <r>
    <s v="PAT-3664"/>
    <s v="Donna Brown"/>
    <n v="17"/>
    <x v="5"/>
    <x v="1"/>
    <x v="354"/>
    <d v="2024-05-31T00:00:00"/>
    <n v="5"/>
    <x v="3"/>
    <x v="24"/>
    <n v="3322.2"/>
    <n v="0.6"/>
    <n v="1993.3199999999997"/>
    <n v="1328.88"/>
    <x v="0"/>
    <m/>
  </r>
  <r>
    <s v="PAT-3665"/>
    <s v="Carol Smith"/>
    <n v="42"/>
    <x v="2"/>
    <x v="1"/>
    <x v="172"/>
    <d v="2024-10-28T00:00:00"/>
    <n v="8"/>
    <x v="0"/>
    <x v="6"/>
    <n v="16467.43"/>
    <n v="0.7"/>
    <n v="11527.200999999999"/>
    <n v="4940.2290000000012"/>
    <x v="0"/>
    <m/>
  </r>
  <r>
    <s v="PAT-3666"/>
    <s v="Karen Martinez"/>
    <n v="57"/>
    <x v="0"/>
    <x v="1"/>
    <x v="347"/>
    <d v="2024-07-09T00:00:00"/>
    <n v="5"/>
    <x v="4"/>
    <x v="26"/>
    <n v="11600.46"/>
    <n v="1"/>
    <n v="11600.46"/>
    <n v="0"/>
    <x v="0"/>
    <m/>
  </r>
  <r>
    <s v="PAT-3667"/>
    <s v="Brian Perez"/>
    <n v="64"/>
    <x v="0"/>
    <x v="0"/>
    <x v="431"/>
    <d v="2024-02-22T00:00:00"/>
    <n v="10"/>
    <x v="5"/>
    <x v="28"/>
    <n v="15327.29"/>
    <n v="0.8"/>
    <n v="12261.832000000002"/>
    <n v="3065.4579999999987"/>
    <x v="0"/>
    <m/>
  </r>
  <r>
    <s v="PAT-3668"/>
    <s v="Kenneth Wilson"/>
    <n v="47"/>
    <x v="0"/>
    <x v="0"/>
    <x v="18"/>
    <d v="2024-12-30T00:00:00"/>
    <n v="7"/>
    <x v="2"/>
    <x v="10"/>
    <n v="6289.07"/>
    <n v="1"/>
    <n v="6289.07"/>
    <n v="0"/>
    <x v="1"/>
    <m/>
  </r>
  <r>
    <s v="PAT-3669"/>
    <s v="Michelle Anderson"/>
    <n v="45"/>
    <x v="0"/>
    <x v="1"/>
    <x v="361"/>
    <d v="2025-01-07T00:00:00"/>
    <n v="3"/>
    <x v="5"/>
    <x v="35"/>
    <n v="4517.8599999999997"/>
    <n v="0.8"/>
    <n v="3614.288"/>
    <n v="903.57199999999966"/>
    <x v="1"/>
    <m/>
  </r>
  <r>
    <s v="PAT-3670"/>
    <s v="Kimberly Clark"/>
    <n v="13"/>
    <x v="5"/>
    <x v="1"/>
    <x v="432"/>
    <d v="2024-07-22T00:00:00"/>
    <n v="2"/>
    <x v="3"/>
    <x v="23"/>
    <n v="3226.45"/>
    <n v="0.9"/>
    <n v="2903.8049999999998"/>
    <n v="322.64499999999998"/>
    <x v="0"/>
    <m/>
  </r>
  <r>
    <s v="PAT-3671"/>
    <s v="Elizabeth Harris"/>
    <n v="2"/>
    <x v="6"/>
    <x v="1"/>
    <x v="433"/>
    <d v="2024-03-20T00:00:00"/>
    <n v="2"/>
    <x v="3"/>
    <x v="37"/>
    <n v="1704.46"/>
    <n v="0.6"/>
    <n v="1022.6759999999999"/>
    <n v="681.78400000000011"/>
    <x v="1"/>
    <m/>
  </r>
  <r>
    <s v="PAT-3672"/>
    <s v="Robert Clark"/>
    <n v="55"/>
    <x v="0"/>
    <x v="0"/>
    <x v="434"/>
    <d v="2025-07-18T00:00:00"/>
    <n v="1"/>
    <x v="2"/>
    <x v="16"/>
    <n v="921.05"/>
    <n v="0.7"/>
    <n v="644.7349999999999"/>
    <n v="276.31500000000005"/>
    <x v="2"/>
    <m/>
  </r>
  <r>
    <s v="PAT-3673"/>
    <s v="Emily Rodriguez"/>
    <n v="78"/>
    <x v="1"/>
    <x v="1"/>
    <x v="435"/>
    <d v="2024-04-29T00:00:00"/>
    <n v="7"/>
    <x v="2"/>
    <x v="21"/>
    <n v="3751.44"/>
    <n v="0.8"/>
    <n v="3001.152"/>
    <n v="750.28800000000001"/>
    <x v="0"/>
    <m/>
  </r>
  <r>
    <s v="PAT-3674"/>
    <s v="James Lewis"/>
    <n v="73"/>
    <x v="1"/>
    <x v="0"/>
    <x v="434"/>
    <d v="2025-07-21T00:00:00"/>
    <n v="4"/>
    <x v="2"/>
    <x v="5"/>
    <n v="5182.1499999999996"/>
    <n v="0.7"/>
    <n v="3627.5049999999997"/>
    <n v="1554.645"/>
    <x v="2"/>
    <m/>
  </r>
  <r>
    <s v="PAT-3675"/>
    <s v="Richard Williams"/>
    <n v="57"/>
    <x v="0"/>
    <x v="0"/>
    <x v="436"/>
    <d v="2025-11-10T00:00:00"/>
    <n v="6"/>
    <x v="0"/>
    <x v="0"/>
    <n v="13365.24"/>
    <n v="0.7"/>
    <n v="9355.6679999999997"/>
    <n v="4009.5720000000001"/>
    <x v="2"/>
    <m/>
  </r>
  <r>
    <s v="PAT-3676"/>
    <s v="Carol Clark"/>
    <n v="75"/>
    <x v="1"/>
    <x v="1"/>
    <x v="412"/>
    <d v="2025-11-06T00:00:00"/>
    <n v="11"/>
    <x v="4"/>
    <x v="18"/>
    <n v="14351.59"/>
    <n v="0.5"/>
    <n v="7175.7950000000001"/>
    <n v="7175.7950000000001"/>
    <x v="0"/>
    <m/>
  </r>
  <r>
    <s v="PAT-3677"/>
    <s v="Christopher Thompson"/>
    <n v="2"/>
    <x v="6"/>
    <x v="0"/>
    <x v="437"/>
    <d v="2025-06-07T00:00:00"/>
    <n v="1"/>
    <x v="3"/>
    <x v="23"/>
    <n v="1340.39"/>
    <n v="0.8"/>
    <n v="1072.3120000000001"/>
    <n v="268.07799999999997"/>
    <x v="2"/>
    <m/>
  </r>
  <r>
    <s v="PAT-3678"/>
    <s v="Christopher Garcia"/>
    <n v="61"/>
    <x v="0"/>
    <x v="0"/>
    <x v="438"/>
    <d v="2025-09-02T00:00:00"/>
    <n v="2"/>
    <x v="2"/>
    <x v="33"/>
    <n v="2477.89"/>
    <n v="0.8"/>
    <n v="1982.3119999999999"/>
    <n v="495.57799999999997"/>
    <x v="1"/>
    <m/>
  </r>
  <r>
    <s v="PAT-3679"/>
    <s v="Elizabeth Hernandez"/>
    <n v="6"/>
    <x v="3"/>
    <x v="1"/>
    <x v="374"/>
    <d v="2025-11-22T00:00:00"/>
    <n v="2"/>
    <x v="3"/>
    <x v="25"/>
    <n v="1871.78"/>
    <n v="0.8"/>
    <n v="1497.424"/>
    <n v="374.35599999999999"/>
    <x v="1"/>
    <m/>
  </r>
  <r>
    <s v="PAT-3680"/>
    <s v="Elizabeth Ramirez"/>
    <n v="36"/>
    <x v="2"/>
    <x v="1"/>
    <x v="368"/>
    <d v="2024-07-24T00:00:00"/>
    <n v="2"/>
    <x v="1"/>
    <x v="31"/>
    <n v="3205.01"/>
    <n v="0.7"/>
    <n v="2243.5070000000001"/>
    <n v="961.50300000000016"/>
    <x v="0"/>
    <m/>
  </r>
  <r>
    <s v="PAT-3681"/>
    <s v="Ashley Clark"/>
    <n v="52"/>
    <x v="0"/>
    <x v="1"/>
    <x v="439"/>
    <d v="2025-03-11T00:00:00"/>
    <n v="1"/>
    <x v="2"/>
    <x v="8"/>
    <n v="1148.98"/>
    <n v="0.5"/>
    <n v="574.49"/>
    <n v="574.49"/>
    <x v="2"/>
    <m/>
  </r>
  <r>
    <s v="PAT-3682"/>
    <s v="Nancy Thomas"/>
    <n v="6"/>
    <x v="3"/>
    <x v="1"/>
    <x v="20"/>
    <d v="2025-10-24T00:00:00"/>
    <n v="2"/>
    <x v="3"/>
    <x v="25"/>
    <n v="2502.7199999999998"/>
    <n v="0.8"/>
    <n v="2002.1759999999999"/>
    <n v="500.54399999999987"/>
    <x v="0"/>
    <m/>
  </r>
  <r>
    <s v="PAT-3683"/>
    <s v="Joseph Davis"/>
    <n v="68"/>
    <x v="1"/>
    <x v="0"/>
    <x v="440"/>
    <d v="2025-01-05T00:00:00"/>
    <n v="10"/>
    <x v="4"/>
    <x v="18"/>
    <n v="23367.19"/>
    <n v="0.8"/>
    <n v="18693.752"/>
    <n v="4673.4379999999983"/>
    <x v="2"/>
    <m/>
  </r>
  <r>
    <s v="PAT-3684"/>
    <s v="Joseph White"/>
    <n v="54"/>
    <x v="0"/>
    <x v="0"/>
    <x v="441"/>
    <d v="2025-09-29T00:00:00"/>
    <n v="12"/>
    <x v="4"/>
    <x v="14"/>
    <n v="14220.87"/>
    <n v="0.8"/>
    <n v="11376.696000000002"/>
    <n v="2844.1739999999991"/>
    <x v="0"/>
    <m/>
  </r>
  <r>
    <s v="PAT-3685"/>
    <s v="Daniel Jones"/>
    <n v="7"/>
    <x v="3"/>
    <x v="0"/>
    <x v="169"/>
    <d v="2025-03-25T00:00:00"/>
    <n v="3"/>
    <x v="3"/>
    <x v="23"/>
    <n v="2954.11"/>
    <n v="0.8"/>
    <n v="2363.288"/>
    <n v="590.82200000000012"/>
    <x v="0"/>
    <m/>
  </r>
  <r>
    <s v="PAT-3686"/>
    <s v="Donna Lee"/>
    <n v="17"/>
    <x v="5"/>
    <x v="1"/>
    <x v="442"/>
    <d v="2025-11-24T00:00:00"/>
    <n v="1"/>
    <x v="3"/>
    <x v="25"/>
    <n v="609.66"/>
    <n v="0.9"/>
    <n v="548.69399999999996"/>
    <n v="60.966000000000008"/>
    <x v="2"/>
    <m/>
  </r>
  <r>
    <s v="PAT-3687"/>
    <s v="Anthony Thompson"/>
    <n v="59"/>
    <x v="0"/>
    <x v="0"/>
    <x v="10"/>
    <d v="2025-11-10T00:00:00"/>
    <n v="4"/>
    <x v="4"/>
    <x v="26"/>
    <n v="8093.46"/>
    <n v="0.8"/>
    <n v="6474.768"/>
    <n v="1618.692"/>
    <x v="0"/>
    <m/>
  </r>
  <r>
    <s v="PAT-3688"/>
    <s v="Paul Jackson"/>
    <n v="81"/>
    <x v="1"/>
    <x v="0"/>
    <x v="261"/>
    <d v="2025-03-31T00:00:00"/>
    <n v="1"/>
    <x v="1"/>
    <x v="36"/>
    <n v="2072.19"/>
    <n v="0.6"/>
    <n v="1243.3140000000001"/>
    <n v="828.87599999999998"/>
    <x v="2"/>
    <m/>
  </r>
  <r>
    <s v="PAT-3689"/>
    <s v="Ashley Garcia"/>
    <n v="21"/>
    <x v="2"/>
    <x v="1"/>
    <x v="14"/>
    <d v="2025-12-14T00:00:00"/>
    <n v="2"/>
    <x v="1"/>
    <x v="15"/>
    <n v="1895.35"/>
    <n v="0.5"/>
    <n v="947.67499999999995"/>
    <n v="947.67499999999995"/>
    <x v="1"/>
    <m/>
  </r>
  <r>
    <s v="PAT-3690"/>
    <s v="Thomas Lee"/>
    <n v="32"/>
    <x v="2"/>
    <x v="0"/>
    <x v="206"/>
    <d v="2025-12-05T00:00:00"/>
    <n v="1"/>
    <x v="2"/>
    <x v="5"/>
    <n v="1195.19"/>
    <n v="1"/>
    <n v="1195.19"/>
    <n v="0"/>
    <x v="0"/>
    <m/>
  </r>
  <r>
    <s v="PAT-3691"/>
    <s v="David Martinez"/>
    <n v="59"/>
    <x v="0"/>
    <x v="0"/>
    <x v="443"/>
    <d v="2025-10-26T00:00:00"/>
    <n v="3"/>
    <x v="1"/>
    <x v="7"/>
    <n v="6880.53"/>
    <n v="0.9"/>
    <n v="6192.4769999999999"/>
    <n v="688.05299999999988"/>
    <x v="1"/>
    <m/>
  </r>
  <r>
    <s v="PAT-3692"/>
    <s v="Mary Johnson"/>
    <n v="3"/>
    <x v="3"/>
    <x v="1"/>
    <x v="55"/>
    <d v="2025-05-10T00:00:00"/>
    <n v="5"/>
    <x v="3"/>
    <x v="9"/>
    <n v="8731.85"/>
    <n v="1"/>
    <n v="8731.85"/>
    <n v="0"/>
    <x v="1"/>
    <m/>
  </r>
  <r>
    <s v="PAT-3693"/>
    <s v="Betty Ramirez"/>
    <n v="71"/>
    <x v="1"/>
    <x v="1"/>
    <x v="444"/>
    <d v="2025-01-22T00:00:00"/>
    <n v="6"/>
    <x v="5"/>
    <x v="34"/>
    <n v="10575.02"/>
    <n v="0.7"/>
    <n v="7402.5140000000001"/>
    <n v="3172.5060000000003"/>
    <x v="1"/>
    <m/>
  </r>
  <r>
    <s v="PAT-3694"/>
    <s v="Carol Anderson"/>
    <n v="46"/>
    <x v="0"/>
    <x v="1"/>
    <x v="445"/>
    <d v="2024-12-22T00:00:00"/>
    <n v="3"/>
    <x v="2"/>
    <x v="16"/>
    <n v="1975.02"/>
    <n v="0.9"/>
    <n v="1777.518"/>
    <n v="197.50199999999995"/>
    <x v="2"/>
    <m/>
  </r>
  <r>
    <s v="PAT-3695"/>
    <s v="Kenneth Rodriguez"/>
    <n v="47"/>
    <x v="0"/>
    <x v="0"/>
    <x v="276"/>
    <d v="2024-04-24T00:00:00"/>
    <n v="8"/>
    <x v="4"/>
    <x v="27"/>
    <n v="14406.87"/>
    <n v="1"/>
    <n v="14406.87"/>
    <n v="0"/>
    <x v="1"/>
    <m/>
  </r>
  <r>
    <s v="PAT-3696"/>
    <s v="Karen Thomas"/>
    <n v="79"/>
    <x v="1"/>
    <x v="1"/>
    <x v="103"/>
    <d v="2025-09-17T00:00:00"/>
    <n v="5"/>
    <x v="0"/>
    <x v="29"/>
    <n v="10285.16"/>
    <n v="0.8"/>
    <n v="8228.1280000000006"/>
    <n v="2057.0319999999992"/>
    <x v="2"/>
    <m/>
  </r>
  <r>
    <s v="PAT-3697"/>
    <s v="Matthew Lewis"/>
    <n v="14"/>
    <x v="5"/>
    <x v="0"/>
    <x v="428"/>
    <d v="2024-04-07T00:00:00"/>
    <n v="1"/>
    <x v="3"/>
    <x v="9"/>
    <n v="730.74"/>
    <n v="0"/>
    <n v="0"/>
    <n v="730.74"/>
    <x v="2"/>
    <m/>
  </r>
  <r>
    <s v="PAT-3698"/>
    <s v="Anthony Taylor"/>
    <n v="30"/>
    <x v="2"/>
    <x v="0"/>
    <x v="270"/>
    <d v="2025-10-13T00:00:00"/>
    <n v="6"/>
    <x v="4"/>
    <x v="27"/>
    <n v="12841.02"/>
    <n v="0.7"/>
    <n v="8988.7139999999999"/>
    <n v="3852.3060000000005"/>
    <x v="0"/>
    <m/>
  </r>
  <r>
    <s v="PAT-3699"/>
    <s v="Michael Young"/>
    <n v="71"/>
    <x v="1"/>
    <x v="0"/>
    <x v="446"/>
    <d v="2024-03-17T00:00:00"/>
    <n v="3"/>
    <x v="5"/>
    <x v="35"/>
    <n v="3969.91"/>
    <n v="0.9"/>
    <n v="3572.9189999999999"/>
    <n v="396.99099999999999"/>
    <x v="0"/>
    <m/>
  </r>
  <r>
    <s v="PAT-3700"/>
    <s v="Joshua Brown"/>
    <n v="47"/>
    <x v="0"/>
    <x v="0"/>
    <x v="363"/>
    <d v="2025-09-13T00:00:00"/>
    <n v="3"/>
    <x v="2"/>
    <x v="4"/>
    <n v="3558.48"/>
    <n v="0.9"/>
    <n v="3202.6320000000001"/>
    <n v="355.84799999999996"/>
    <x v="1"/>
    <m/>
  </r>
  <r>
    <s v="PAT-3701"/>
    <s v="Richard Johnson"/>
    <n v="35"/>
    <x v="2"/>
    <x v="0"/>
    <x v="135"/>
    <d v="2024-12-23T00:00:00"/>
    <n v="2"/>
    <x v="1"/>
    <x v="3"/>
    <n v="2492.36"/>
    <n v="0.9"/>
    <n v="2243.1240000000003"/>
    <n v="249.23599999999988"/>
    <x v="2"/>
    <m/>
  </r>
  <r>
    <s v="PAT-3702"/>
    <s v="Richard Garcia"/>
    <n v="64"/>
    <x v="0"/>
    <x v="0"/>
    <x v="65"/>
    <d v="2025-04-08T00:00:00"/>
    <n v="3"/>
    <x v="2"/>
    <x v="33"/>
    <n v="2931.95"/>
    <n v="1"/>
    <n v="2931.95"/>
    <n v="0"/>
    <x v="0"/>
    <m/>
  </r>
  <r>
    <s v="PAT-3703"/>
    <s v="Nancy Brown"/>
    <n v="39"/>
    <x v="2"/>
    <x v="1"/>
    <x v="224"/>
    <d v="2024-12-10T00:00:00"/>
    <n v="2"/>
    <x v="1"/>
    <x v="31"/>
    <n v="3264.79"/>
    <n v="0.7"/>
    <n v="2285.3529999999996"/>
    <n v="979.43700000000035"/>
    <x v="0"/>
    <m/>
  </r>
  <r>
    <s v="PAT-3704"/>
    <s v="Thomas Wilson"/>
    <n v="65"/>
    <x v="1"/>
    <x v="0"/>
    <x v="242"/>
    <d v="2026-01-01T00:00:00"/>
    <n v="4"/>
    <x v="2"/>
    <x v="16"/>
    <n v="5976.06"/>
    <n v="0.7"/>
    <n v="4183.2420000000002"/>
    <n v="1792.8180000000002"/>
    <x v="1"/>
    <m/>
  </r>
  <r>
    <s v="PAT-3705"/>
    <s v="Donna Ramirez"/>
    <n v="85"/>
    <x v="4"/>
    <x v="1"/>
    <x v="447"/>
    <d v="2025-03-27T00:00:00"/>
    <n v="1"/>
    <x v="2"/>
    <x v="4"/>
    <n v="1133.0999999999999"/>
    <n v="0.7"/>
    <n v="793.16999999999985"/>
    <n v="339.93000000000006"/>
    <x v="1"/>
    <m/>
  </r>
  <r>
    <s v="PAT-3706"/>
    <s v="Anthony Moore"/>
    <n v="85"/>
    <x v="4"/>
    <x v="0"/>
    <x v="448"/>
    <d v="2025-08-30T00:00:00"/>
    <n v="2"/>
    <x v="1"/>
    <x v="31"/>
    <n v="4676.38"/>
    <n v="0.9"/>
    <n v="4208.7420000000002"/>
    <n v="467.63799999999992"/>
    <x v="0"/>
    <m/>
  </r>
  <r>
    <s v="PAT-3707"/>
    <s v="Anthony Jackson"/>
    <n v="72"/>
    <x v="1"/>
    <x v="0"/>
    <x v="449"/>
    <d v="2025-01-09T00:00:00"/>
    <n v="2"/>
    <x v="1"/>
    <x v="31"/>
    <n v="2041.86"/>
    <n v="0.9"/>
    <n v="1837.674"/>
    <n v="204.18599999999992"/>
    <x v="0"/>
    <m/>
  </r>
  <r>
    <s v="PAT-3708"/>
    <s v="Lisa Lee"/>
    <n v="40"/>
    <x v="2"/>
    <x v="1"/>
    <x v="368"/>
    <d v="2024-07-28T00:00:00"/>
    <n v="6"/>
    <x v="0"/>
    <x v="29"/>
    <n v="11703.16"/>
    <n v="0.9"/>
    <n v="10532.844000000001"/>
    <n v="1170.3159999999989"/>
    <x v="0"/>
    <m/>
  </r>
  <r>
    <s v="PAT-3709"/>
    <s v="Donna Jones"/>
    <n v="6"/>
    <x v="3"/>
    <x v="1"/>
    <x v="60"/>
    <d v="2025-10-13T00:00:00"/>
    <n v="1"/>
    <x v="3"/>
    <x v="25"/>
    <n v="1336.01"/>
    <n v="0.8"/>
    <n v="1068.808"/>
    <n v="267.202"/>
    <x v="1"/>
    <m/>
  </r>
  <r>
    <s v="PAT-3710"/>
    <s v="Thomas Smith"/>
    <n v="81"/>
    <x v="1"/>
    <x v="0"/>
    <x v="392"/>
    <d v="2025-05-08T00:00:00"/>
    <n v="8"/>
    <x v="0"/>
    <x v="0"/>
    <n v="21413.919999999998"/>
    <n v="0.8"/>
    <n v="17131.135999999999"/>
    <n v="4282.7839999999997"/>
    <x v="0"/>
    <m/>
  </r>
  <r>
    <s v="PAT-3711"/>
    <s v="Nancy Davis"/>
    <n v="56"/>
    <x v="0"/>
    <x v="1"/>
    <x v="400"/>
    <d v="2024-12-30T00:00:00"/>
    <n v="2"/>
    <x v="1"/>
    <x v="32"/>
    <n v="4020.17"/>
    <n v="0.8"/>
    <n v="3216.1360000000004"/>
    <n v="804.03399999999965"/>
    <x v="2"/>
    <m/>
  </r>
  <r>
    <s v="PAT-3712"/>
    <s v="Karen Lee"/>
    <n v="66"/>
    <x v="1"/>
    <x v="1"/>
    <x v="126"/>
    <d v="2024-07-04T00:00:00"/>
    <n v="12"/>
    <x v="4"/>
    <x v="14"/>
    <n v="28053.05"/>
    <n v="0.8"/>
    <n v="22442.440000000002"/>
    <n v="5610.6099999999969"/>
    <x v="0"/>
    <m/>
  </r>
  <r>
    <s v="PAT-3713"/>
    <s v="Michelle Harris"/>
    <n v="34"/>
    <x v="2"/>
    <x v="1"/>
    <x v="450"/>
    <d v="2024-10-04T00:00:00"/>
    <n v="11"/>
    <x v="5"/>
    <x v="35"/>
    <n v="23948.97"/>
    <n v="1"/>
    <n v="23948.97"/>
    <n v="0"/>
    <x v="0"/>
    <m/>
  </r>
  <r>
    <s v="PAT-3714"/>
    <s v="David Young"/>
    <n v="84"/>
    <x v="1"/>
    <x v="0"/>
    <x v="402"/>
    <d v="2025-04-03T00:00:00"/>
    <n v="9"/>
    <x v="0"/>
    <x v="19"/>
    <n v="23623.51"/>
    <n v="0.9"/>
    <n v="21261.159"/>
    <n v="2362.3509999999987"/>
    <x v="1"/>
    <m/>
  </r>
  <r>
    <s v="PAT-3715"/>
    <s v="James Ramirez"/>
    <n v="34"/>
    <x v="2"/>
    <x v="0"/>
    <x v="410"/>
    <d v="2025-08-31T00:00:00"/>
    <n v="6"/>
    <x v="5"/>
    <x v="34"/>
    <n v="10445.299999999999"/>
    <n v="0.6"/>
    <n v="6267.1799999999994"/>
    <n v="4178.12"/>
    <x v="2"/>
    <m/>
  </r>
  <r>
    <s v="PAT-3716"/>
    <s v="Mark White"/>
    <n v="51"/>
    <x v="0"/>
    <x v="0"/>
    <x v="164"/>
    <d v="2025-08-29T00:00:00"/>
    <n v="7"/>
    <x v="4"/>
    <x v="13"/>
    <n v="19007.18"/>
    <n v="0.7"/>
    <n v="13305.026"/>
    <n v="5702.1540000000005"/>
    <x v="0"/>
    <m/>
  </r>
  <r>
    <s v="PAT-3717"/>
    <s v="David Jones"/>
    <n v="43"/>
    <x v="2"/>
    <x v="0"/>
    <x v="451"/>
    <d v="2025-05-16T00:00:00"/>
    <n v="3"/>
    <x v="1"/>
    <x v="2"/>
    <n v="2458.7600000000002"/>
    <n v="0.9"/>
    <n v="2212.8840000000005"/>
    <n v="245.87599999999975"/>
    <x v="0"/>
    <m/>
  </r>
  <r>
    <s v="PAT-3718"/>
    <s v="Brian Moore"/>
    <n v="32"/>
    <x v="2"/>
    <x v="0"/>
    <x v="162"/>
    <d v="2025-01-29T00:00:00"/>
    <n v="8"/>
    <x v="4"/>
    <x v="27"/>
    <n v="14632.49"/>
    <n v="0.6"/>
    <n v="8779.4939999999988"/>
    <n v="5852.996000000001"/>
    <x v="2"/>
    <m/>
  </r>
  <r>
    <s v="PAT-3719"/>
    <s v="Susan Perez"/>
    <n v="34"/>
    <x v="2"/>
    <x v="1"/>
    <x v="452"/>
    <d v="2025-03-29T00:00:00"/>
    <n v="5"/>
    <x v="2"/>
    <x v="10"/>
    <n v="2891.81"/>
    <n v="0.8"/>
    <n v="2313.4479999999999"/>
    <n v="578.36200000000008"/>
    <x v="0"/>
    <m/>
  </r>
  <r>
    <s v="PAT-3720"/>
    <s v="Linda Davis"/>
    <n v="54"/>
    <x v="0"/>
    <x v="1"/>
    <x v="453"/>
    <d v="2024-09-19T00:00:00"/>
    <n v="3"/>
    <x v="0"/>
    <x v="20"/>
    <n v="8029.13"/>
    <n v="0.8"/>
    <n v="6423.3040000000001"/>
    <n v="1605.826"/>
    <x v="1"/>
    <m/>
  </r>
  <r>
    <s v="PAT-3721"/>
    <s v="Matthew Wilson"/>
    <n v="45"/>
    <x v="0"/>
    <x v="0"/>
    <x v="259"/>
    <d v="2025-11-13T00:00:00"/>
    <n v="1"/>
    <x v="2"/>
    <x v="5"/>
    <n v="858.67"/>
    <n v="0.8"/>
    <n v="686.93600000000004"/>
    <n v="171.73399999999992"/>
    <x v="0"/>
    <m/>
  </r>
  <r>
    <s v="PAT-3722"/>
    <s v="Steven Perez"/>
    <n v="16"/>
    <x v="5"/>
    <x v="0"/>
    <x v="190"/>
    <d v="2025-11-19T00:00:00"/>
    <n v="2"/>
    <x v="3"/>
    <x v="37"/>
    <n v="3460.07"/>
    <n v="1"/>
    <n v="3460.07"/>
    <n v="0"/>
    <x v="1"/>
    <m/>
  </r>
  <r>
    <s v="PAT-3723"/>
    <s v="Brian Harris"/>
    <n v="48"/>
    <x v="0"/>
    <x v="0"/>
    <x v="454"/>
    <d v="2025-08-17T00:00:00"/>
    <n v="7"/>
    <x v="2"/>
    <x v="16"/>
    <n v="7776.12"/>
    <n v="0.6"/>
    <n v="4665.6719999999996"/>
    <n v="3110.4480000000003"/>
    <x v="1"/>
    <m/>
  </r>
  <r>
    <s v="PAT-3724"/>
    <s v="Brian Lewis"/>
    <n v="69"/>
    <x v="1"/>
    <x v="0"/>
    <x v="364"/>
    <d v="2024-04-30T00:00:00"/>
    <n v="2"/>
    <x v="1"/>
    <x v="3"/>
    <n v="4547.8500000000004"/>
    <n v="0.7"/>
    <n v="3183.4949999999999"/>
    <n v="1364.3550000000005"/>
    <x v="2"/>
    <m/>
  </r>
  <r>
    <s v="PAT-3725"/>
    <s v="Emily White"/>
    <n v="68"/>
    <x v="1"/>
    <x v="1"/>
    <x v="241"/>
    <d v="2024-04-18T00:00:00"/>
    <n v="5"/>
    <x v="0"/>
    <x v="6"/>
    <n v="11509.91"/>
    <n v="0"/>
    <n v="0"/>
    <n v="11509.91"/>
    <x v="1"/>
    <m/>
  </r>
  <r>
    <s v="PAT-3726"/>
    <s v="Michelle Thomas"/>
    <n v="22"/>
    <x v="2"/>
    <x v="1"/>
    <x v="407"/>
    <d v="2024-06-13T00:00:00"/>
    <n v="3"/>
    <x v="1"/>
    <x v="32"/>
    <n v="2402.42"/>
    <n v="1"/>
    <n v="2402.42"/>
    <n v="0"/>
    <x v="0"/>
    <m/>
  </r>
  <r>
    <s v="PAT-3727"/>
    <s v="Robert Garcia"/>
    <n v="15"/>
    <x v="5"/>
    <x v="0"/>
    <x v="167"/>
    <d v="2024-03-05T00:00:00"/>
    <n v="4"/>
    <x v="3"/>
    <x v="9"/>
    <n v="4108.03"/>
    <n v="0.8"/>
    <n v="3286.424"/>
    <n v="821.60599999999977"/>
    <x v="0"/>
    <m/>
  </r>
  <r>
    <s v="PAT-3728"/>
    <s v="Lisa Miller"/>
    <n v="48"/>
    <x v="0"/>
    <x v="1"/>
    <x v="455"/>
    <d v="2025-01-23T00:00:00"/>
    <n v="6"/>
    <x v="2"/>
    <x v="16"/>
    <n v="3552.94"/>
    <n v="0.8"/>
    <n v="2842.3520000000003"/>
    <n v="710.58799999999974"/>
    <x v="1"/>
    <m/>
  </r>
  <r>
    <s v="PAT-3729"/>
    <s v="Ashley Martinez"/>
    <n v="85"/>
    <x v="4"/>
    <x v="1"/>
    <x v="456"/>
    <d v="2024-08-20T00:00:00"/>
    <n v="3"/>
    <x v="1"/>
    <x v="7"/>
    <n v="2872.72"/>
    <n v="0.5"/>
    <n v="1436.36"/>
    <n v="1436.36"/>
    <x v="1"/>
    <m/>
  </r>
  <r>
    <s v="PAT-3730"/>
    <s v="James Perez"/>
    <n v="49"/>
    <x v="0"/>
    <x v="0"/>
    <x v="53"/>
    <d v="2024-11-20T00:00:00"/>
    <n v="8"/>
    <x v="4"/>
    <x v="11"/>
    <n v="8897.51"/>
    <n v="0.8"/>
    <n v="7118.0080000000007"/>
    <n v="1779.5019999999995"/>
    <x v="0"/>
    <m/>
  </r>
  <r>
    <s v="PAT-3731"/>
    <s v="Carol Robinson"/>
    <n v="10"/>
    <x v="3"/>
    <x v="1"/>
    <x v="391"/>
    <d v="2024-04-28T00:00:00"/>
    <n v="3"/>
    <x v="3"/>
    <x v="24"/>
    <n v="3469.08"/>
    <n v="0.8"/>
    <n v="2775.2640000000001"/>
    <n v="693.8159999999998"/>
    <x v="0"/>
    <m/>
  </r>
  <r>
    <s v="PAT-3732"/>
    <s v="Andrew Clark"/>
    <n v="47"/>
    <x v="0"/>
    <x v="0"/>
    <x v="161"/>
    <d v="2024-01-15T00:00:00"/>
    <n v="6"/>
    <x v="0"/>
    <x v="1"/>
    <n v="8778.52"/>
    <n v="0.8"/>
    <n v="7022.8160000000007"/>
    <n v="1755.7039999999997"/>
    <x v="1"/>
    <m/>
  </r>
  <r>
    <s v="PAT-3733"/>
    <s v="Mark Brown"/>
    <n v="66"/>
    <x v="1"/>
    <x v="0"/>
    <x v="457"/>
    <d v="2024-06-20T00:00:00"/>
    <n v="14"/>
    <x v="4"/>
    <x v="26"/>
    <n v="38501.9"/>
    <n v="0.8"/>
    <n v="30801.520000000004"/>
    <n v="7700.3799999999974"/>
    <x v="0"/>
    <m/>
  </r>
  <r>
    <s v="PAT-3734"/>
    <s v="Andrew Martinez"/>
    <n v="43"/>
    <x v="2"/>
    <x v="0"/>
    <x v="458"/>
    <d v="2025-12-27T00:00:00"/>
    <n v="2"/>
    <x v="2"/>
    <x v="33"/>
    <n v="1693.89"/>
    <n v="0.8"/>
    <n v="1355.1120000000001"/>
    <n v="338.77800000000002"/>
    <x v="0"/>
    <m/>
  </r>
  <r>
    <s v="PAT-3735"/>
    <s v="William Walker"/>
    <n v="29"/>
    <x v="2"/>
    <x v="0"/>
    <x v="459"/>
    <d v="2024-05-29T00:00:00"/>
    <n v="1"/>
    <x v="1"/>
    <x v="15"/>
    <n v="1250.03"/>
    <n v="0.8"/>
    <n v="1000.024"/>
    <n v="250.00599999999997"/>
    <x v="0"/>
    <m/>
  </r>
  <r>
    <s v="PAT-3736"/>
    <s v="Dorothy Ramirez"/>
    <n v="76"/>
    <x v="1"/>
    <x v="1"/>
    <x v="460"/>
    <d v="2024-10-13T00:00:00"/>
    <n v="1"/>
    <x v="1"/>
    <x v="32"/>
    <n v="2286.5500000000002"/>
    <n v="0.9"/>
    <n v="2057.8950000000004"/>
    <n v="228.65499999999975"/>
    <x v="2"/>
    <m/>
  </r>
  <r>
    <s v="PAT-3737"/>
    <s v="Christopher White"/>
    <n v="70"/>
    <x v="1"/>
    <x v="0"/>
    <x v="349"/>
    <d v="2024-08-01T00:00:00"/>
    <n v="1"/>
    <x v="1"/>
    <x v="32"/>
    <n v="1516.2"/>
    <n v="0.8"/>
    <n v="1212.96"/>
    <n v="303.24"/>
    <x v="0"/>
    <m/>
  </r>
  <r>
    <s v="PAT-3738"/>
    <s v="Sarah Garcia"/>
    <n v="79"/>
    <x v="1"/>
    <x v="1"/>
    <x v="76"/>
    <d v="2025-01-12T00:00:00"/>
    <n v="10"/>
    <x v="0"/>
    <x v="0"/>
    <n v="24161.06"/>
    <n v="1"/>
    <n v="24161.06"/>
    <n v="0"/>
    <x v="0"/>
    <m/>
  </r>
  <r>
    <s v="PAT-3739"/>
    <s v="Ashley Thompson"/>
    <n v="76"/>
    <x v="1"/>
    <x v="1"/>
    <x v="204"/>
    <d v="2024-12-27T00:00:00"/>
    <n v="3"/>
    <x v="1"/>
    <x v="7"/>
    <n v="5162.18"/>
    <n v="0.9"/>
    <n v="4645.9620000000004"/>
    <n v="516.21799999999985"/>
    <x v="2"/>
    <m/>
  </r>
  <r>
    <s v="PAT-3740"/>
    <s v="Thomas Young"/>
    <n v="27"/>
    <x v="2"/>
    <x v="0"/>
    <x v="389"/>
    <d v="2025-03-21T00:00:00"/>
    <n v="13"/>
    <x v="4"/>
    <x v="26"/>
    <n v="22371.56"/>
    <n v="0.8"/>
    <n v="17897.248000000003"/>
    <n v="4474.3119999999981"/>
    <x v="0"/>
    <m/>
  </r>
  <r>
    <s v="PAT-3741"/>
    <s v="Elizabeth Jackson"/>
    <n v="82"/>
    <x v="1"/>
    <x v="1"/>
    <x v="283"/>
    <d v="2024-10-28T00:00:00"/>
    <n v="1"/>
    <x v="1"/>
    <x v="15"/>
    <n v="1865.06"/>
    <n v="0.8"/>
    <n v="1492.048"/>
    <n v="373.01199999999994"/>
    <x v="0"/>
    <m/>
  </r>
  <r>
    <s v="PAT-3742"/>
    <s v="Joseph Martinez"/>
    <n v="71"/>
    <x v="1"/>
    <x v="0"/>
    <x v="450"/>
    <d v="2024-09-26T00:00:00"/>
    <n v="3"/>
    <x v="0"/>
    <x v="29"/>
    <n v="7640.58"/>
    <n v="0.8"/>
    <n v="6112.4639999999999"/>
    <n v="1528.116"/>
    <x v="2"/>
    <m/>
  </r>
  <r>
    <s v="PAT-3743"/>
    <s v="Karen Williams"/>
    <n v="69"/>
    <x v="1"/>
    <x v="1"/>
    <x v="461"/>
    <d v="2025-02-02T00:00:00"/>
    <n v="2"/>
    <x v="2"/>
    <x v="5"/>
    <n v="2892.4"/>
    <n v="0.5"/>
    <n v="1446.2"/>
    <n v="1446.2"/>
    <x v="0"/>
    <m/>
  </r>
  <r>
    <s v="PAT-3744"/>
    <s v="Richard Rodriguez"/>
    <n v="32"/>
    <x v="2"/>
    <x v="0"/>
    <x v="204"/>
    <d v="2024-12-31T00:00:00"/>
    <n v="7"/>
    <x v="5"/>
    <x v="12"/>
    <n v="9495.5300000000007"/>
    <n v="1"/>
    <n v="9495.5300000000007"/>
    <n v="0"/>
    <x v="1"/>
    <m/>
  </r>
  <r>
    <s v="PAT-3745"/>
    <s v="Ashley Rodriguez"/>
    <n v="29"/>
    <x v="2"/>
    <x v="1"/>
    <x v="238"/>
    <d v="2024-09-25T00:00:00"/>
    <n v="1"/>
    <x v="1"/>
    <x v="3"/>
    <n v="870.1"/>
    <n v="0.8"/>
    <n v="696.08"/>
    <n v="174.01999999999998"/>
    <x v="0"/>
    <m/>
  </r>
  <r>
    <s v="PAT-3746"/>
    <s v="Sarah Davis"/>
    <n v="76"/>
    <x v="1"/>
    <x v="1"/>
    <x v="462"/>
    <d v="2024-01-16T00:00:00"/>
    <n v="1"/>
    <x v="2"/>
    <x v="4"/>
    <n v="1437.06"/>
    <n v="0.7"/>
    <n v="1005.9419999999999"/>
    <n v="431.11800000000005"/>
    <x v="1"/>
    <m/>
  </r>
  <r>
    <s v="PAT-3747"/>
    <s v="Sarah Perez"/>
    <n v="53"/>
    <x v="0"/>
    <x v="1"/>
    <x v="249"/>
    <d v="2024-08-20T00:00:00"/>
    <n v="5"/>
    <x v="2"/>
    <x v="10"/>
    <n v="2735.83"/>
    <n v="0.9"/>
    <n v="2462.2469999999998"/>
    <n v="273.58300000000008"/>
    <x v="1"/>
    <m/>
  </r>
  <r>
    <s v="PAT-3748"/>
    <s v="Kenneth Wilson"/>
    <n v="27"/>
    <x v="2"/>
    <x v="0"/>
    <x v="463"/>
    <d v="2024-12-03T00:00:00"/>
    <n v="1"/>
    <x v="1"/>
    <x v="2"/>
    <n v="1879.03"/>
    <n v="1"/>
    <n v="1879.03"/>
    <n v="0"/>
    <x v="0"/>
    <m/>
  </r>
  <r>
    <s v="PAT-3749"/>
    <s v="Ashley Martinez"/>
    <n v="11"/>
    <x v="3"/>
    <x v="1"/>
    <x v="333"/>
    <d v="2024-07-13T00:00:00"/>
    <n v="4"/>
    <x v="3"/>
    <x v="25"/>
    <n v="4685.1499999999996"/>
    <n v="0.7"/>
    <n v="3279.6049999999996"/>
    <n v="1405.5450000000001"/>
    <x v="2"/>
    <m/>
  </r>
  <r>
    <s v="PAT-3750"/>
    <s v="Richard Rodriguez"/>
    <n v="30"/>
    <x v="2"/>
    <x v="0"/>
    <x v="464"/>
    <d v="2025-11-28T00:00:00"/>
    <n v="2"/>
    <x v="1"/>
    <x v="7"/>
    <n v="4638.3500000000004"/>
    <n v="0.9"/>
    <n v="4174.5150000000003"/>
    <n v="463.83500000000004"/>
    <x v="2"/>
    <m/>
  </r>
  <r>
    <s v="PAT-3751"/>
    <s v="Betty Thompson"/>
    <n v="35"/>
    <x v="2"/>
    <x v="1"/>
    <x v="277"/>
    <d v="2024-06-14T00:00:00"/>
    <n v="3"/>
    <x v="1"/>
    <x v="36"/>
    <n v="6181.48"/>
    <n v="0.9"/>
    <n v="5563.3319999999994"/>
    <n v="618.14800000000014"/>
    <x v="0"/>
    <m/>
  </r>
  <r>
    <s v="PAT-3752"/>
    <s v="Donna Clark"/>
    <n v="66"/>
    <x v="1"/>
    <x v="1"/>
    <x v="279"/>
    <d v="2025-12-08T00:00:00"/>
    <n v="6"/>
    <x v="5"/>
    <x v="34"/>
    <n v="10893.55"/>
    <n v="0.8"/>
    <n v="8714.84"/>
    <n v="2178.7099999999991"/>
    <x v="0"/>
    <m/>
  </r>
  <r>
    <s v="PAT-3753"/>
    <s v="Joshua Miller"/>
    <n v="70"/>
    <x v="1"/>
    <x v="0"/>
    <x v="127"/>
    <d v="2024-07-12T00:00:00"/>
    <n v="4"/>
    <x v="2"/>
    <x v="8"/>
    <n v="5559.19"/>
    <n v="1"/>
    <n v="5559.19"/>
    <n v="0"/>
    <x v="0"/>
    <m/>
  </r>
  <r>
    <s v="PAT-3754"/>
    <s v="Jennifer Lewis"/>
    <n v="82"/>
    <x v="1"/>
    <x v="1"/>
    <x v="465"/>
    <d v="2025-08-04T00:00:00"/>
    <n v="6"/>
    <x v="0"/>
    <x v="29"/>
    <n v="12777.22"/>
    <n v="0.9"/>
    <n v="11499.498"/>
    <n v="1277.7219999999998"/>
    <x v="0"/>
    <m/>
  </r>
  <r>
    <s v="PAT-3755"/>
    <s v="Karen Rodriguez"/>
    <n v="28"/>
    <x v="2"/>
    <x v="1"/>
    <x v="170"/>
    <d v="2024-03-12T00:00:00"/>
    <n v="1"/>
    <x v="1"/>
    <x v="7"/>
    <n v="824.72"/>
    <n v="0.8"/>
    <n v="659.77600000000007"/>
    <n v="164.94399999999996"/>
    <x v="0"/>
    <m/>
  </r>
  <r>
    <s v="PAT-3756"/>
    <s v="Kenneth Davis"/>
    <n v="77"/>
    <x v="1"/>
    <x v="0"/>
    <x v="244"/>
    <d v="2025-04-01T00:00:00"/>
    <n v="4"/>
    <x v="5"/>
    <x v="30"/>
    <n v="7892.83"/>
    <n v="0.9"/>
    <n v="7103.5470000000005"/>
    <n v="789.28299999999945"/>
    <x v="0"/>
    <m/>
  </r>
  <r>
    <s v="PAT-3757"/>
    <s v="Sarah Martinez"/>
    <n v="34"/>
    <x v="2"/>
    <x v="1"/>
    <x v="422"/>
    <d v="2024-09-04T00:00:00"/>
    <n v="2"/>
    <x v="1"/>
    <x v="15"/>
    <n v="4965.79"/>
    <n v="0.8"/>
    <n v="3972.6320000000001"/>
    <n v="993.1579999999999"/>
    <x v="0"/>
    <m/>
  </r>
  <r>
    <s v="PAT-3758"/>
    <s v="Jennifer Taylor"/>
    <n v="8"/>
    <x v="3"/>
    <x v="1"/>
    <x v="23"/>
    <d v="2024-03-21T00:00:00"/>
    <n v="2"/>
    <x v="3"/>
    <x v="24"/>
    <n v="1380.95"/>
    <n v="0.7"/>
    <n v="966.66499999999996"/>
    <n v="414.28500000000008"/>
    <x v="0"/>
    <m/>
  </r>
  <r>
    <s v="PAT-3759"/>
    <s v="Joshua Hernandez"/>
    <n v="41"/>
    <x v="2"/>
    <x v="0"/>
    <x v="258"/>
    <d v="2024-07-12T00:00:00"/>
    <n v="1"/>
    <x v="2"/>
    <x v="10"/>
    <n v="783.53"/>
    <n v="0.5"/>
    <n v="391.76499999999999"/>
    <n v="391.76499999999999"/>
    <x v="0"/>
    <m/>
  </r>
  <r>
    <s v="PAT-3760"/>
    <s v="Andrew Moore"/>
    <n v="50"/>
    <x v="0"/>
    <x v="0"/>
    <x v="197"/>
    <d v="2025-02-15T00:00:00"/>
    <n v="1"/>
    <x v="2"/>
    <x v="5"/>
    <n v="644.33000000000004"/>
    <n v="0.5"/>
    <n v="322.16500000000002"/>
    <n v="322.16500000000002"/>
    <x v="2"/>
    <m/>
  </r>
  <r>
    <s v="PAT-3761"/>
    <s v="Christopher Lee"/>
    <n v="64"/>
    <x v="0"/>
    <x v="0"/>
    <x v="62"/>
    <d v="2025-11-26T00:00:00"/>
    <n v="1"/>
    <x v="1"/>
    <x v="2"/>
    <n v="803.78"/>
    <n v="0.9"/>
    <n v="723.40200000000004"/>
    <n v="80.377999999999929"/>
    <x v="0"/>
    <m/>
  </r>
  <r>
    <s v="PAT-3762"/>
    <s v="Andrew Robinson"/>
    <n v="32"/>
    <x v="2"/>
    <x v="0"/>
    <x v="108"/>
    <d v="2025-09-16T00:00:00"/>
    <n v="7"/>
    <x v="2"/>
    <x v="16"/>
    <n v="7286.69"/>
    <n v="0.8"/>
    <n v="5829.3519999999999"/>
    <n v="1457.3379999999997"/>
    <x v="0"/>
    <m/>
  </r>
  <r>
    <s v="PAT-3763"/>
    <s v="Jessica Lee"/>
    <n v="47"/>
    <x v="0"/>
    <x v="1"/>
    <x v="466"/>
    <d v="2024-11-04T00:00:00"/>
    <n v="3"/>
    <x v="1"/>
    <x v="36"/>
    <n v="6520.03"/>
    <n v="0.8"/>
    <n v="5216.0240000000003"/>
    <n v="1304.0059999999994"/>
    <x v="0"/>
    <m/>
  </r>
  <r>
    <s v="PAT-3764"/>
    <s v="Nancy Clark"/>
    <n v="46"/>
    <x v="0"/>
    <x v="1"/>
    <x v="467"/>
    <d v="2025-12-02T00:00:00"/>
    <n v="1"/>
    <x v="2"/>
    <x v="5"/>
    <n v="1101.07"/>
    <n v="0.7"/>
    <n v="770.74899999999991"/>
    <n v="330.32100000000003"/>
    <x v="1"/>
    <m/>
  </r>
  <r>
    <s v="PAT-3765"/>
    <s v="Karen Ramirez"/>
    <n v="48"/>
    <x v="0"/>
    <x v="1"/>
    <x v="134"/>
    <d v="2025-09-14T00:00:00"/>
    <n v="10"/>
    <x v="0"/>
    <x v="1"/>
    <n v="15930.98"/>
    <n v="0.8"/>
    <n v="12744.784"/>
    <n v="3186.1959999999999"/>
    <x v="0"/>
    <m/>
  </r>
  <r>
    <s v="PAT-3766"/>
    <s v="James Johnson"/>
    <n v="47"/>
    <x v="0"/>
    <x v="0"/>
    <x v="468"/>
    <d v="2024-09-29T00:00:00"/>
    <n v="7"/>
    <x v="2"/>
    <x v="21"/>
    <n v="6394.95"/>
    <n v="1"/>
    <n v="6394.95"/>
    <n v="0"/>
    <x v="2"/>
    <m/>
  </r>
  <r>
    <s v="PAT-3767"/>
    <s v="David Wilson"/>
    <n v="18"/>
    <x v="2"/>
    <x v="0"/>
    <x v="299"/>
    <d v="2024-01-03T00:00:00"/>
    <n v="2"/>
    <x v="2"/>
    <x v="8"/>
    <n v="2803.03"/>
    <n v="0.9"/>
    <n v="2522.7270000000003"/>
    <n v="280.30299999999988"/>
    <x v="0"/>
    <m/>
  </r>
  <r>
    <s v="PAT-3768"/>
    <s v="James Walker"/>
    <n v="41"/>
    <x v="2"/>
    <x v="0"/>
    <x v="469"/>
    <d v="2024-01-28T00:00:00"/>
    <n v="3"/>
    <x v="5"/>
    <x v="12"/>
    <n v="4689.5200000000004"/>
    <n v="0.8"/>
    <n v="3751.6160000000004"/>
    <n v="937.904"/>
    <x v="0"/>
    <m/>
  </r>
  <r>
    <s v="PAT-3769"/>
    <s v="Donna Thompson"/>
    <n v="67"/>
    <x v="1"/>
    <x v="1"/>
    <x v="144"/>
    <d v="2024-08-20T00:00:00"/>
    <n v="10"/>
    <x v="5"/>
    <x v="35"/>
    <n v="13724.66"/>
    <n v="0.8"/>
    <n v="10979.728000000001"/>
    <n v="2744.9319999999989"/>
    <x v="0"/>
    <m/>
  </r>
  <r>
    <s v="PAT-3770"/>
    <s v="Matthew Brown"/>
    <n v="74"/>
    <x v="1"/>
    <x v="0"/>
    <x v="470"/>
    <d v="2025-02-24T00:00:00"/>
    <n v="4"/>
    <x v="0"/>
    <x v="6"/>
    <n v="9130.48"/>
    <n v="0.6"/>
    <n v="5478.2879999999996"/>
    <n v="3652.192"/>
    <x v="2"/>
    <m/>
  </r>
  <r>
    <s v="PAT-3771"/>
    <s v="Ashley Jones"/>
    <n v="32"/>
    <x v="2"/>
    <x v="1"/>
    <x v="98"/>
    <d v="2024-04-21T00:00:00"/>
    <n v="1"/>
    <x v="1"/>
    <x v="36"/>
    <n v="2383.8000000000002"/>
    <n v="0.7"/>
    <n v="1668.66"/>
    <n v="715.1400000000001"/>
    <x v="0"/>
    <m/>
  </r>
  <r>
    <s v="PAT-3772"/>
    <s v="Betty Rodriguez"/>
    <n v="51"/>
    <x v="0"/>
    <x v="1"/>
    <x v="313"/>
    <d v="2024-01-09T00:00:00"/>
    <n v="3"/>
    <x v="2"/>
    <x v="21"/>
    <n v="1901.75"/>
    <n v="0.7"/>
    <n v="1331.2249999999999"/>
    <n v="570.52500000000009"/>
    <x v="1"/>
    <m/>
  </r>
  <r>
    <s v="PAT-3773"/>
    <s v="Matthew Jones"/>
    <n v="55"/>
    <x v="0"/>
    <x v="0"/>
    <x v="332"/>
    <d v="2025-06-27T00:00:00"/>
    <n v="3"/>
    <x v="1"/>
    <x v="3"/>
    <n v="5558.16"/>
    <n v="0.6"/>
    <n v="3334.8959999999997"/>
    <n v="2223.2640000000001"/>
    <x v="0"/>
    <m/>
  </r>
  <r>
    <s v="PAT-3774"/>
    <s v="Robert Hernandez"/>
    <n v="34"/>
    <x v="2"/>
    <x v="0"/>
    <x v="176"/>
    <d v="2025-06-04T00:00:00"/>
    <n v="7"/>
    <x v="2"/>
    <x v="16"/>
    <n v="4500.7"/>
    <n v="0.9"/>
    <n v="4050.63"/>
    <n v="450.06999999999971"/>
    <x v="0"/>
    <m/>
  </r>
  <r>
    <s v="PAT-3775"/>
    <s v="Paul Rodriguez"/>
    <n v="81"/>
    <x v="1"/>
    <x v="0"/>
    <x v="21"/>
    <d v="2025-02-16T00:00:00"/>
    <n v="5"/>
    <x v="0"/>
    <x v="6"/>
    <n v="9036.9"/>
    <n v="0.5"/>
    <n v="4518.45"/>
    <n v="4518.45"/>
    <x v="1"/>
    <m/>
  </r>
  <r>
    <s v="PAT-3776"/>
    <s v="Michael Wilson"/>
    <n v="83"/>
    <x v="1"/>
    <x v="0"/>
    <x v="380"/>
    <d v="2025-06-24T00:00:00"/>
    <n v="5"/>
    <x v="2"/>
    <x v="33"/>
    <n v="4404.2299999999996"/>
    <n v="0.5"/>
    <n v="2202.1149999999998"/>
    <n v="2202.1149999999998"/>
    <x v="2"/>
    <m/>
  </r>
  <r>
    <s v="PAT-3777"/>
    <s v="Anthony Miller"/>
    <n v="51"/>
    <x v="0"/>
    <x v="0"/>
    <x v="126"/>
    <d v="2024-06-27T00:00:00"/>
    <n v="5"/>
    <x v="2"/>
    <x v="21"/>
    <n v="4907.47"/>
    <n v="0.8"/>
    <n v="3925.9760000000006"/>
    <n v="981.49399999999969"/>
    <x v="0"/>
    <m/>
  </r>
  <r>
    <s v="PAT-3778"/>
    <s v="Brian Davis"/>
    <n v="71"/>
    <x v="1"/>
    <x v="0"/>
    <x v="63"/>
    <d v="2025-03-25T00:00:00"/>
    <n v="10"/>
    <x v="0"/>
    <x v="0"/>
    <n v="26768.21"/>
    <n v="1"/>
    <n v="26768.21"/>
    <n v="0"/>
    <x v="2"/>
    <m/>
  </r>
  <r>
    <s v="PAT-3779"/>
    <s v="Kimberly Thompson"/>
    <n v="85"/>
    <x v="4"/>
    <x v="1"/>
    <x v="36"/>
    <d v="2025-06-07T00:00:00"/>
    <n v="4"/>
    <x v="2"/>
    <x v="8"/>
    <n v="2615.96"/>
    <n v="1"/>
    <n v="2615.96"/>
    <n v="0"/>
    <x v="0"/>
    <m/>
  </r>
  <r>
    <s v="PAT-3780"/>
    <s v="Mark Harris"/>
    <n v="74"/>
    <x v="1"/>
    <x v="0"/>
    <x v="425"/>
    <d v="2025-12-23T00:00:00"/>
    <n v="6"/>
    <x v="2"/>
    <x v="33"/>
    <n v="7371.54"/>
    <n v="0.7"/>
    <n v="5160.0779999999995"/>
    <n v="2211.4620000000004"/>
    <x v="2"/>
    <m/>
  </r>
  <r>
    <s v="PAT-3781"/>
    <s v="Elizabeth Lopez"/>
    <n v="74"/>
    <x v="1"/>
    <x v="1"/>
    <x v="360"/>
    <d v="2025-01-01T00:00:00"/>
    <n v="1"/>
    <x v="1"/>
    <x v="31"/>
    <n v="1984.12"/>
    <n v="0.7"/>
    <n v="1388.8839999999998"/>
    <n v="595.2360000000001"/>
    <x v="1"/>
    <m/>
  </r>
  <r>
    <s v="PAT-3782"/>
    <s v="Sarah Ramirez"/>
    <n v="42"/>
    <x v="2"/>
    <x v="1"/>
    <x v="309"/>
    <d v="2025-04-14T00:00:00"/>
    <n v="6"/>
    <x v="5"/>
    <x v="17"/>
    <n v="15265.35"/>
    <n v="1"/>
    <n v="15265.35"/>
    <n v="0"/>
    <x v="0"/>
    <m/>
  </r>
  <r>
    <s v="PAT-3783"/>
    <s v="Christopher Martin"/>
    <n v="43"/>
    <x v="2"/>
    <x v="0"/>
    <x v="192"/>
    <d v="2024-10-20T00:00:00"/>
    <n v="11"/>
    <x v="5"/>
    <x v="35"/>
    <n v="24895.77"/>
    <n v="0.8"/>
    <n v="19916.616000000002"/>
    <n v="4979.1539999999986"/>
    <x v="0"/>
    <m/>
  </r>
  <r>
    <s v="PAT-3784"/>
    <s v="Betty Davis"/>
    <n v="43"/>
    <x v="2"/>
    <x v="1"/>
    <x v="253"/>
    <d v="2025-03-31T00:00:00"/>
    <n v="4"/>
    <x v="2"/>
    <x v="5"/>
    <n v="2392.67"/>
    <n v="0.6"/>
    <n v="1435.6020000000001"/>
    <n v="957.06799999999998"/>
    <x v="2"/>
    <m/>
  </r>
  <r>
    <s v="PAT-3785"/>
    <s v="Sarah Jackson"/>
    <n v="23"/>
    <x v="2"/>
    <x v="1"/>
    <x v="224"/>
    <d v="2024-12-09T00:00:00"/>
    <n v="1"/>
    <x v="2"/>
    <x v="21"/>
    <n v="1000.43"/>
    <n v="0.9"/>
    <n v="900.38699999999994"/>
    <n v="100.04300000000001"/>
    <x v="0"/>
    <m/>
  </r>
  <r>
    <s v="PAT-3786"/>
    <s v="David Rodriguez"/>
    <n v="58"/>
    <x v="0"/>
    <x v="0"/>
    <x v="471"/>
    <d v="2025-02-25T00:00:00"/>
    <n v="4"/>
    <x v="5"/>
    <x v="34"/>
    <n v="10299"/>
    <n v="0.9"/>
    <n v="9269.1"/>
    <n v="1029.8999999999996"/>
    <x v="0"/>
    <m/>
  </r>
  <r>
    <s v="PAT-3787"/>
    <s v="Kimberly Smith"/>
    <n v="58"/>
    <x v="0"/>
    <x v="1"/>
    <x v="192"/>
    <d v="2024-10-19T00:00:00"/>
    <n v="10"/>
    <x v="5"/>
    <x v="28"/>
    <n v="25129.38"/>
    <n v="0.9"/>
    <n v="22616.442000000003"/>
    <n v="2512.9379999999983"/>
    <x v="0"/>
    <m/>
  </r>
  <r>
    <s v="PAT-3788"/>
    <s v="Joshua Jones"/>
    <n v="9"/>
    <x v="3"/>
    <x v="0"/>
    <x v="430"/>
    <d v="2024-05-11T00:00:00"/>
    <n v="5"/>
    <x v="3"/>
    <x v="22"/>
    <n v="6735.15"/>
    <n v="1"/>
    <n v="6735.15"/>
    <n v="0"/>
    <x v="2"/>
    <m/>
  </r>
  <r>
    <s v="PAT-3789"/>
    <s v="Carol Lewis"/>
    <n v="62"/>
    <x v="0"/>
    <x v="1"/>
    <x v="81"/>
    <d v="2024-09-05T00:00:00"/>
    <n v="10"/>
    <x v="0"/>
    <x v="20"/>
    <n v="20130.14"/>
    <n v="0.7"/>
    <n v="14091.097999999998"/>
    <n v="6039.0420000000013"/>
    <x v="0"/>
    <m/>
  </r>
  <r>
    <s v="PAT-3790"/>
    <s v="Kenneth Robinson"/>
    <n v="3"/>
    <x v="3"/>
    <x v="0"/>
    <x v="472"/>
    <d v="2024-02-28T00:00:00"/>
    <n v="1"/>
    <x v="3"/>
    <x v="37"/>
    <n v="1138.69"/>
    <n v="0.8"/>
    <n v="910.95200000000011"/>
    <n v="227.73799999999994"/>
    <x v="0"/>
    <m/>
  </r>
  <r>
    <s v="PAT-3791"/>
    <s v="Matthew Martin"/>
    <n v="75"/>
    <x v="1"/>
    <x v="0"/>
    <x v="221"/>
    <d v="2025-10-02T00:00:00"/>
    <n v="13"/>
    <x v="4"/>
    <x v="18"/>
    <n v="17304.05"/>
    <n v="0.8"/>
    <n v="13843.24"/>
    <n v="3460.8099999999995"/>
    <x v="0"/>
    <m/>
  </r>
  <r>
    <s v="PAT-3792"/>
    <s v="Emily Garcia"/>
    <n v="66"/>
    <x v="1"/>
    <x v="1"/>
    <x v="362"/>
    <d v="2025-01-13T00:00:00"/>
    <n v="4"/>
    <x v="2"/>
    <x v="33"/>
    <n v="2563.36"/>
    <n v="0.7"/>
    <n v="1794.3519999999999"/>
    <n v="769.00800000000027"/>
    <x v="0"/>
    <m/>
  </r>
  <r>
    <s v="PAT-3793"/>
    <s v="Carol Ramirez"/>
    <n v="73"/>
    <x v="1"/>
    <x v="1"/>
    <x v="473"/>
    <d v="2025-08-23T00:00:00"/>
    <n v="6"/>
    <x v="2"/>
    <x v="4"/>
    <n v="5938.64"/>
    <n v="0.8"/>
    <n v="4750.9120000000003"/>
    <n v="1187.7280000000001"/>
    <x v="0"/>
    <m/>
  </r>
  <r>
    <s v="PAT-3794"/>
    <s v="Robert Lee"/>
    <n v="58"/>
    <x v="0"/>
    <x v="0"/>
    <x v="239"/>
    <d v="2025-04-19T00:00:00"/>
    <n v="3"/>
    <x v="4"/>
    <x v="13"/>
    <n v="6946.39"/>
    <n v="0.9"/>
    <n v="6251.7510000000002"/>
    <n v="694.63900000000012"/>
    <x v="0"/>
    <m/>
  </r>
  <r>
    <s v="PAT-3795"/>
    <s v="Dorothy Thomas"/>
    <n v="32"/>
    <x v="2"/>
    <x v="1"/>
    <x v="414"/>
    <d v="2025-06-15T00:00:00"/>
    <n v="11"/>
    <x v="5"/>
    <x v="30"/>
    <n v="15560.38"/>
    <n v="0.8"/>
    <n v="12448.304"/>
    <n v="3112.0759999999991"/>
    <x v="0"/>
    <m/>
  </r>
  <r>
    <s v="PAT-3796"/>
    <s v="Joshua Thomas"/>
    <n v="14"/>
    <x v="5"/>
    <x v="0"/>
    <x v="261"/>
    <d v="2025-04-03T00:00:00"/>
    <n v="4"/>
    <x v="3"/>
    <x v="22"/>
    <n v="6667.93"/>
    <n v="0.9"/>
    <n v="6001.1370000000006"/>
    <n v="666.79299999999967"/>
    <x v="1"/>
    <m/>
  </r>
  <r>
    <s v="PAT-3797"/>
    <s v="Thomas Smith"/>
    <n v="26"/>
    <x v="2"/>
    <x v="0"/>
    <x v="297"/>
    <d v="2024-01-16T00:00:00"/>
    <n v="2"/>
    <x v="1"/>
    <x v="31"/>
    <n v="3800.12"/>
    <n v="0.7"/>
    <n v="2660.0839999999998"/>
    <n v="1140.0360000000001"/>
    <x v="0"/>
    <m/>
  </r>
  <r>
    <s v="PAT-3798"/>
    <s v="Elizabeth Miller"/>
    <n v="25"/>
    <x v="2"/>
    <x v="1"/>
    <x v="474"/>
    <d v="2024-02-23T00:00:00"/>
    <n v="1"/>
    <x v="1"/>
    <x v="7"/>
    <n v="1697.82"/>
    <n v="0.8"/>
    <n v="1358.2560000000001"/>
    <n v="339.56399999999985"/>
    <x v="0"/>
    <m/>
  </r>
  <r>
    <s v="PAT-3799"/>
    <s v="Robert Lopez"/>
    <n v="44"/>
    <x v="2"/>
    <x v="0"/>
    <x v="308"/>
    <d v="2025-11-22T00:00:00"/>
    <n v="3"/>
    <x v="0"/>
    <x v="29"/>
    <n v="8833.89"/>
    <n v="1"/>
    <n v="8833.89"/>
    <n v="0"/>
    <x v="0"/>
    <m/>
  </r>
  <r>
    <s v="PAT-3800"/>
    <s v="Robert Hernandez"/>
    <n v="52"/>
    <x v="0"/>
    <x v="0"/>
    <x v="183"/>
    <d v="2025-06-02T00:00:00"/>
    <n v="1"/>
    <x v="2"/>
    <x v="5"/>
    <n v="809.13"/>
    <n v="0.6"/>
    <n v="485.47799999999995"/>
    <n v="323.65200000000004"/>
    <x v="1"/>
    <m/>
  </r>
  <r>
    <s v="PAT-3801"/>
    <s v="Matthew Moore"/>
    <n v="66"/>
    <x v="1"/>
    <x v="0"/>
    <x v="475"/>
    <d v="2024-02-15T00:00:00"/>
    <n v="2"/>
    <x v="1"/>
    <x v="36"/>
    <n v="2529.54"/>
    <n v="1"/>
    <n v="2529.54"/>
    <n v="0"/>
    <x v="1"/>
    <m/>
  </r>
  <r>
    <s v="PAT-3802"/>
    <s v="Donna Jackson"/>
    <n v="8"/>
    <x v="3"/>
    <x v="1"/>
    <x v="476"/>
    <d v="2025-10-12T00:00:00"/>
    <n v="3"/>
    <x v="3"/>
    <x v="9"/>
    <n v="4739.3900000000003"/>
    <n v="0.8"/>
    <n v="3791.5120000000006"/>
    <n v="947.8779999999997"/>
    <x v="1"/>
    <m/>
  </r>
  <r>
    <s v="PAT-3803"/>
    <s v="Sarah Brown"/>
    <n v="37"/>
    <x v="2"/>
    <x v="1"/>
    <x v="477"/>
    <d v="2025-11-01T00:00:00"/>
    <n v="1"/>
    <x v="1"/>
    <x v="3"/>
    <n v="1444.42"/>
    <n v="0.8"/>
    <n v="1155.5360000000001"/>
    <n v="288.88400000000001"/>
    <x v="0"/>
    <m/>
  </r>
  <r>
    <s v="PAT-3804"/>
    <s v="Carol Lee"/>
    <n v="21"/>
    <x v="2"/>
    <x v="1"/>
    <x v="478"/>
    <d v="2024-04-03T00:00:00"/>
    <n v="1"/>
    <x v="2"/>
    <x v="10"/>
    <n v="646.89"/>
    <n v="0.7"/>
    <n v="452.82299999999998"/>
    <n v="194.06700000000001"/>
    <x v="1"/>
    <m/>
  </r>
  <r>
    <s v="PAT-3805"/>
    <s v="Brian Clark"/>
    <n v="64"/>
    <x v="0"/>
    <x v="0"/>
    <x v="193"/>
    <d v="2024-09-20T00:00:00"/>
    <n v="2"/>
    <x v="1"/>
    <x v="32"/>
    <n v="4600.38"/>
    <n v="0.7"/>
    <n v="3220.2660000000001"/>
    <n v="1380.114"/>
    <x v="0"/>
    <m/>
  </r>
  <r>
    <s v="PAT-3806"/>
    <s v="Elizabeth Walker"/>
    <n v="78"/>
    <x v="1"/>
    <x v="1"/>
    <x v="368"/>
    <d v="2024-07-25T00:00:00"/>
    <n v="3"/>
    <x v="1"/>
    <x v="3"/>
    <n v="2479.6999999999998"/>
    <n v="0.8"/>
    <n v="1983.76"/>
    <n v="495.93999999999983"/>
    <x v="0"/>
    <m/>
  </r>
  <r>
    <s v="PAT-3807"/>
    <s v="James Perez"/>
    <n v="48"/>
    <x v="0"/>
    <x v="0"/>
    <x v="427"/>
    <d v="2025-11-01T00:00:00"/>
    <n v="7"/>
    <x v="2"/>
    <x v="16"/>
    <n v="10101.09"/>
    <n v="0.8"/>
    <n v="8080.8720000000003"/>
    <n v="2020.2179999999998"/>
    <x v="2"/>
    <m/>
  </r>
  <r>
    <s v="PAT-3808"/>
    <s v="Karen Miller"/>
    <n v="59"/>
    <x v="0"/>
    <x v="1"/>
    <x v="479"/>
    <d v="2025-09-24T00:00:00"/>
    <n v="3"/>
    <x v="2"/>
    <x v="33"/>
    <n v="2291.15"/>
    <n v="0.6"/>
    <n v="1374.69"/>
    <n v="916.46"/>
    <x v="0"/>
    <m/>
  </r>
  <r>
    <s v="PAT-3809"/>
    <s v="Barbara Miller"/>
    <n v="61"/>
    <x v="0"/>
    <x v="1"/>
    <x v="480"/>
    <d v="2024-10-08T00:00:00"/>
    <n v="3"/>
    <x v="2"/>
    <x v="5"/>
    <n v="4440.5200000000004"/>
    <n v="0"/>
    <n v="0"/>
    <n v="4440.5200000000004"/>
    <x v="1"/>
    <m/>
  </r>
  <r>
    <s v="PAT-3810"/>
    <s v="Richard Martinez"/>
    <n v="83"/>
    <x v="1"/>
    <x v="0"/>
    <x v="481"/>
    <d v="2024-11-07T00:00:00"/>
    <n v="1"/>
    <x v="2"/>
    <x v="16"/>
    <n v="923.56"/>
    <n v="0.9"/>
    <n v="831.20399999999995"/>
    <n v="92.355999999999995"/>
    <x v="0"/>
    <m/>
  </r>
  <r>
    <s v="PAT-3811"/>
    <s v="James Young"/>
    <n v="62"/>
    <x v="0"/>
    <x v="0"/>
    <x v="111"/>
    <d v="2024-11-08T00:00:00"/>
    <n v="3"/>
    <x v="0"/>
    <x v="29"/>
    <n v="7663.44"/>
    <n v="0.9"/>
    <n v="6897.0959999999995"/>
    <n v="766.34400000000005"/>
    <x v="0"/>
    <m/>
  </r>
  <r>
    <s v="PAT-3812"/>
    <s v="Jennifer Smith"/>
    <n v="14"/>
    <x v="5"/>
    <x v="1"/>
    <x v="355"/>
    <d v="2025-02-02T00:00:00"/>
    <n v="4"/>
    <x v="3"/>
    <x v="24"/>
    <n v="6386.92"/>
    <n v="1"/>
    <n v="6386.92"/>
    <n v="0"/>
    <x v="0"/>
    <m/>
  </r>
  <r>
    <s v="PAT-3813"/>
    <s v="Susan Thomas"/>
    <n v="41"/>
    <x v="2"/>
    <x v="1"/>
    <x v="474"/>
    <d v="2024-02-24T00:00:00"/>
    <n v="2"/>
    <x v="1"/>
    <x v="32"/>
    <n v="3243.4"/>
    <n v="0.7"/>
    <n v="2270.38"/>
    <n v="973.02"/>
    <x v="2"/>
    <m/>
  </r>
  <r>
    <s v="PAT-3814"/>
    <s v="William Anderson"/>
    <n v="28"/>
    <x v="2"/>
    <x v="0"/>
    <x v="390"/>
    <d v="2024-08-21T00:00:00"/>
    <n v="2"/>
    <x v="1"/>
    <x v="36"/>
    <n v="2328.9699999999998"/>
    <n v="0.6"/>
    <n v="1397.3819999999998"/>
    <n v="931.58799999999997"/>
    <x v="2"/>
    <m/>
  </r>
  <r>
    <s v="PAT-3815"/>
    <s v="Carol Ramirez"/>
    <n v="76"/>
    <x v="1"/>
    <x v="1"/>
    <x v="428"/>
    <d v="2024-04-11T00:00:00"/>
    <n v="5"/>
    <x v="0"/>
    <x v="20"/>
    <n v="11411.19"/>
    <n v="0.7"/>
    <n v="7987.8329999999996"/>
    <n v="3423.3570000000009"/>
    <x v="0"/>
    <m/>
  </r>
  <r>
    <s v="PAT-3816"/>
    <s v="Barbara Thomas"/>
    <n v="80"/>
    <x v="1"/>
    <x v="1"/>
    <x v="457"/>
    <d v="2024-06-14T00:00:00"/>
    <n v="8"/>
    <x v="5"/>
    <x v="17"/>
    <n v="18741.169999999998"/>
    <n v="0.7"/>
    <n v="13118.818999999998"/>
    <n v="5622.3510000000006"/>
    <x v="0"/>
    <m/>
  </r>
  <r>
    <s v="PAT-3817"/>
    <s v="Ashley Thompson"/>
    <n v="53"/>
    <x v="0"/>
    <x v="1"/>
    <x v="186"/>
    <d v="2024-09-08T00:00:00"/>
    <n v="2"/>
    <x v="1"/>
    <x v="3"/>
    <n v="3602.24"/>
    <n v="0.7"/>
    <n v="2521.5679999999998"/>
    <n v="1080.672"/>
    <x v="0"/>
    <m/>
  </r>
  <r>
    <s v="PAT-3818"/>
    <s v="Ashley Perez"/>
    <n v="50"/>
    <x v="0"/>
    <x v="1"/>
    <x v="418"/>
    <d v="2024-11-15T00:00:00"/>
    <n v="2"/>
    <x v="4"/>
    <x v="13"/>
    <n v="3967.17"/>
    <n v="0.9"/>
    <n v="3570.453"/>
    <n v="396.7170000000001"/>
    <x v="0"/>
    <m/>
  </r>
  <r>
    <s v="PAT-3819"/>
    <s v="Jennifer Thompson"/>
    <n v="30"/>
    <x v="2"/>
    <x v="1"/>
    <x v="481"/>
    <d v="2024-11-10T00:00:00"/>
    <n v="4"/>
    <x v="4"/>
    <x v="18"/>
    <n v="5430.38"/>
    <n v="0.8"/>
    <n v="4344.3040000000001"/>
    <n v="1086.076"/>
    <x v="0"/>
    <m/>
  </r>
  <r>
    <s v="PAT-3820"/>
    <s v="Barbara Martinez"/>
    <n v="49"/>
    <x v="0"/>
    <x v="1"/>
    <x v="3"/>
    <d v="2024-10-29T00:00:00"/>
    <n v="6"/>
    <x v="2"/>
    <x v="5"/>
    <n v="3153.91"/>
    <n v="0.9"/>
    <n v="2838.5189999999998"/>
    <n v="315.39100000000008"/>
    <x v="0"/>
    <m/>
  </r>
  <r>
    <s v="PAT-3821"/>
    <s v="Jessica Perez"/>
    <n v="32"/>
    <x v="2"/>
    <x v="1"/>
    <x v="228"/>
    <d v="2024-09-18T00:00:00"/>
    <n v="6"/>
    <x v="2"/>
    <x v="33"/>
    <n v="4214.28"/>
    <n v="0.8"/>
    <n v="3371.424"/>
    <n v="842.85599999999977"/>
    <x v="0"/>
    <m/>
  </r>
  <r>
    <s v="PAT-3822"/>
    <s v="Richard Anderson"/>
    <n v="70"/>
    <x v="1"/>
    <x v="0"/>
    <x v="482"/>
    <d v="2025-10-20T00:00:00"/>
    <n v="3"/>
    <x v="5"/>
    <x v="30"/>
    <n v="5898.39"/>
    <n v="0.6"/>
    <n v="3539.0340000000001"/>
    <n v="2359.3560000000002"/>
    <x v="1"/>
    <m/>
  </r>
  <r>
    <s v="PAT-3823"/>
    <s v="Susan Garcia"/>
    <n v="35"/>
    <x v="2"/>
    <x v="1"/>
    <x v="483"/>
    <d v="2025-11-27T00:00:00"/>
    <n v="14"/>
    <x v="4"/>
    <x v="27"/>
    <n v="32045.67"/>
    <n v="0.8"/>
    <n v="25636.536"/>
    <n v="6409.1339999999982"/>
    <x v="0"/>
    <m/>
  </r>
  <r>
    <s v="PAT-3824"/>
    <s v="Thomas Jones"/>
    <n v="77"/>
    <x v="1"/>
    <x v="0"/>
    <x v="484"/>
    <d v="2024-04-06T00:00:00"/>
    <n v="5"/>
    <x v="5"/>
    <x v="34"/>
    <n v="11916.1"/>
    <n v="0.9"/>
    <n v="10724.49"/>
    <n v="1191.6100000000006"/>
    <x v="0"/>
    <m/>
  </r>
  <r>
    <s v="PAT-3825"/>
    <s v="Barbara Thompson"/>
    <n v="26"/>
    <x v="2"/>
    <x v="1"/>
    <x v="485"/>
    <d v="2024-11-22T00:00:00"/>
    <n v="7"/>
    <x v="2"/>
    <x v="21"/>
    <n v="5499.8"/>
    <n v="0.8"/>
    <n v="4399.84"/>
    <n v="1099.96"/>
    <x v="1"/>
    <m/>
  </r>
  <r>
    <s v="PAT-3826"/>
    <s v="Andrew Jackson"/>
    <n v="32"/>
    <x v="2"/>
    <x v="0"/>
    <x v="259"/>
    <d v="2025-11-17T00:00:00"/>
    <n v="5"/>
    <x v="5"/>
    <x v="17"/>
    <n v="8755.16"/>
    <n v="0.5"/>
    <n v="4377.58"/>
    <n v="4377.58"/>
    <x v="0"/>
    <m/>
  </r>
  <r>
    <s v="PAT-3827"/>
    <s v="Matthew White"/>
    <n v="35"/>
    <x v="2"/>
    <x v="0"/>
    <x v="449"/>
    <d v="2025-01-12T00:00:00"/>
    <n v="5"/>
    <x v="2"/>
    <x v="21"/>
    <n v="3252.83"/>
    <n v="0.7"/>
    <n v="2276.9809999999998"/>
    <n v="975.84900000000016"/>
    <x v="2"/>
    <m/>
  </r>
  <r>
    <s v="PAT-3828"/>
    <s v="Michelle Martinez"/>
    <n v="52"/>
    <x v="0"/>
    <x v="1"/>
    <x v="486"/>
    <d v="2025-10-13T00:00:00"/>
    <n v="5"/>
    <x v="4"/>
    <x v="14"/>
    <n v="12778.56"/>
    <n v="0.8"/>
    <n v="10222.848"/>
    <n v="2555.7119999999995"/>
    <x v="1"/>
    <m/>
  </r>
  <r>
    <s v="PAT-3829"/>
    <s v="Daniel White"/>
    <n v="73"/>
    <x v="1"/>
    <x v="0"/>
    <x v="259"/>
    <d v="2025-11-24T00:00:00"/>
    <n v="12"/>
    <x v="4"/>
    <x v="13"/>
    <n v="27830.62"/>
    <n v="0.6"/>
    <n v="16698.371999999999"/>
    <n v="11132.248"/>
    <x v="1"/>
    <m/>
  </r>
  <r>
    <s v="PAT-3830"/>
    <s v="Joseph Perez"/>
    <n v="5"/>
    <x v="3"/>
    <x v="0"/>
    <x v="406"/>
    <d v="2025-07-26T00:00:00"/>
    <n v="4"/>
    <x v="3"/>
    <x v="37"/>
    <n v="4474.62"/>
    <n v="1"/>
    <n v="4474.62"/>
    <n v="0"/>
    <x v="1"/>
    <m/>
  </r>
  <r>
    <s v="PAT-3831"/>
    <s v="James Moore"/>
    <n v="13"/>
    <x v="5"/>
    <x v="0"/>
    <x v="189"/>
    <d v="2025-01-05T00:00:00"/>
    <n v="4"/>
    <x v="3"/>
    <x v="37"/>
    <n v="3553.09"/>
    <n v="0.6"/>
    <n v="2131.8539999999998"/>
    <n v="1421.2360000000003"/>
    <x v="1"/>
    <m/>
  </r>
  <r>
    <s v="PAT-3832"/>
    <s v="Joshua Thompson"/>
    <n v="16"/>
    <x v="5"/>
    <x v="0"/>
    <x v="20"/>
    <d v="2025-10-24T00:00:00"/>
    <n v="2"/>
    <x v="3"/>
    <x v="22"/>
    <n v="2767.65"/>
    <n v="0.7"/>
    <n v="1937.355"/>
    <n v="830.29500000000007"/>
    <x v="0"/>
    <m/>
  </r>
  <r>
    <s v="PAT-3833"/>
    <s v="Kevin Lopez"/>
    <n v="14"/>
    <x v="5"/>
    <x v="0"/>
    <x v="487"/>
    <d v="2024-06-11T00:00:00"/>
    <n v="2"/>
    <x v="3"/>
    <x v="9"/>
    <n v="2721.43"/>
    <n v="0.8"/>
    <n v="2177.1439999999998"/>
    <n v="544.28600000000006"/>
    <x v="0"/>
    <m/>
  </r>
  <r>
    <s v="PAT-3834"/>
    <s v="Jennifer Thomas"/>
    <n v="21"/>
    <x v="2"/>
    <x v="1"/>
    <x v="488"/>
    <d v="2024-10-11T00:00:00"/>
    <n v="3"/>
    <x v="1"/>
    <x v="31"/>
    <n v="2887.15"/>
    <n v="0.9"/>
    <n v="2598.4349999999999"/>
    <n v="288.71500000000015"/>
    <x v="2"/>
    <m/>
  </r>
  <r>
    <s v="PAT-3835"/>
    <s v="Daniel Wilson"/>
    <n v="29"/>
    <x v="2"/>
    <x v="0"/>
    <x v="489"/>
    <d v="2024-09-20T00:00:00"/>
    <n v="3"/>
    <x v="1"/>
    <x v="2"/>
    <n v="7071.48"/>
    <n v="0.8"/>
    <n v="5657.1840000000002"/>
    <n v="1414.2959999999994"/>
    <x v="0"/>
    <m/>
  </r>
  <r>
    <s v="PAT-3836"/>
    <s v="Kimberly Harris"/>
    <n v="72"/>
    <x v="1"/>
    <x v="1"/>
    <x v="161"/>
    <d v="2024-01-13T00:00:00"/>
    <n v="4"/>
    <x v="0"/>
    <x v="29"/>
    <n v="8289.81"/>
    <n v="0.8"/>
    <n v="6631.848"/>
    <n v="1657.9619999999995"/>
    <x v="0"/>
    <m/>
  </r>
  <r>
    <s v="PAT-3837"/>
    <s v="Elizabeth Jackson"/>
    <n v="20"/>
    <x v="2"/>
    <x v="1"/>
    <x v="490"/>
    <d v="2025-07-09T00:00:00"/>
    <n v="3"/>
    <x v="2"/>
    <x v="21"/>
    <n v="1605.53"/>
    <n v="0.8"/>
    <n v="1284.424"/>
    <n v="321.10599999999999"/>
    <x v="0"/>
    <m/>
  </r>
  <r>
    <s v="PAT-3838"/>
    <s v="Betty Wilson"/>
    <n v="26"/>
    <x v="2"/>
    <x v="1"/>
    <x v="266"/>
    <d v="2025-01-18T00:00:00"/>
    <n v="3"/>
    <x v="2"/>
    <x v="21"/>
    <n v="3803.99"/>
    <n v="0.5"/>
    <n v="1901.9949999999999"/>
    <n v="1901.9949999999999"/>
    <x v="2"/>
    <m/>
  </r>
  <r>
    <s v="PAT-3839"/>
    <s v="Karen Lopez"/>
    <n v="41"/>
    <x v="2"/>
    <x v="1"/>
    <x v="149"/>
    <d v="2025-09-19T00:00:00"/>
    <n v="6"/>
    <x v="4"/>
    <x v="27"/>
    <n v="11654.43"/>
    <n v="0"/>
    <n v="0"/>
    <n v="11654.43"/>
    <x v="2"/>
    <m/>
  </r>
  <r>
    <s v="PAT-3840"/>
    <s v="Christopher Brown"/>
    <n v="1"/>
    <x v="6"/>
    <x v="0"/>
    <x v="341"/>
    <d v="2025-12-15T00:00:00"/>
    <n v="2"/>
    <x v="3"/>
    <x v="25"/>
    <n v="3542.96"/>
    <n v="0.8"/>
    <n v="2834.3680000000004"/>
    <n v="708.59199999999964"/>
    <x v="2"/>
    <m/>
  </r>
  <r>
    <s v="PAT-3841"/>
    <s v="Robert Moore"/>
    <n v="1"/>
    <x v="6"/>
    <x v="0"/>
    <x v="491"/>
    <d v="2025-12-11T00:00:00"/>
    <n v="5"/>
    <x v="3"/>
    <x v="23"/>
    <n v="6340.11"/>
    <n v="0.7"/>
    <n v="4438.0769999999993"/>
    <n v="1902.0330000000004"/>
    <x v="1"/>
    <m/>
  </r>
  <r>
    <s v="PAT-3842"/>
    <s v="Joshua Walker"/>
    <n v="31"/>
    <x v="2"/>
    <x v="0"/>
    <x v="492"/>
    <d v="2024-04-17T00:00:00"/>
    <n v="13"/>
    <x v="4"/>
    <x v="18"/>
    <n v="33330.199999999997"/>
    <n v="0.6"/>
    <n v="19998.12"/>
    <n v="13332.079999999998"/>
    <x v="0"/>
    <m/>
  </r>
  <r>
    <s v="PAT-3843"/>
    <s v="Barbara Martin"/>
    <n v="35"/>
    <x v="2"/>
    <x v="1"/>
    <x v="18"/>
    <d v="2024-12-26T00:00:00"/>
    <n v="3"/>
    <x v="4"/>
    <x v="14"/>
    <n v="4622.9399999999996"/>
    <n v="0.9"/>
    <n v="4160.6459999999997"/>
    <n v="462.29399999999987"/>
    <x v="0"/>
    <m/>
  </r>
  <r>
    <s v="PAT-3844"/>
    <s v="William Thomas"/>
    <n v="2"/>
    <x v="6"/>
    <x v="0"/>
    <x v="373"/>
    <d v="2024-07-04T00:00:00"/>
    <n v="5"/>
    <x v="3"/>
    <x v="24"/>
    <n v="6314.88"/>
    <n v="0.7"/>
    <n v="4420.4160000000002"/>
    <n v="1894.4639999999999"/>
    <x v="0"/>
    <m/>
  </r>
  <r>
    <s v="PAT-3845"/>
    <s v="Joshua Davis"/>
    <n v="25"/>
    <x v="2"/>
    <x v="0"/>
    <x v="493"/>
    <d v="2024-05-11T00:00:00"/>
    <n v="14"/>
    <x v="4"/>
    <x v="18"/>
    <n v="25971.47"/>
    <n v="0.8"/>
    <n v="20777.176000000003"/>
    <n v="5194.2939999999981"/>
    <x v="1"/>
    <m/>
  </r>
  <r>
    <s v="PAT-3846"/>
    <s v="Lisa Miller"/>
    <n v="44"/>
    <x v="2"/>
    <x v="1"/>
    <x v="7"/>
    <d v="2024-02-29T00:00:00"/>
    <n v="5"/>
    <x v="2"/>
    <x v="33"/>
    <n v="2926.43"/>
    <n v="0.9"/>
    <n v="2633.7869999999998"/>
    <n v="292.64300000000003"/>
    <x v="0"/>
    <m/>
  </r>
  <r>
    <s v="PAT-3847"/>
    <s v="Daniel Ramirez"/>
    <n v="39"/>
    <x v="2"/>
    <x v="0"/>
    <x v="494"/>
    <d v="2025-10-06T00:00:00"/>
    <n v="5"/>
    <x v="2"/>
    <x v="8"/>
    <n v="6712.97"/>
    <n v="0.8"/>
    <n v="5370.3760000000002"/>
    <n v="1342.5940000000001"/>
    <x v="1"/>
    <m/>
  </r>
  <r>
    <s v="PAT-3848"/>
    <s v="Karen Miller"/>
    <n v="72"/>
    <x v="1"/>
    <x v="1"/>
    <x v="495"/>
    <d v="2024-09-07T00:00:00"/>
    <n v="3"/>
    <x v="2"/>
    <x v="5"/>
    <n v="3235.11"/>
    <n v="0.8"/>
    <n v="2588.0880000000002"/>
    <n v="647.02199999999993"/>
    <x v="0"/>
    <m/>
  </r>
  <r>
    <s v="PAT-3849"/>
    <s v="Steven Williams"/>
    <n v="64"/>
    <x v="0"/>
    <x v="0"/>
    <x v="69"/>
    <d v="2025-11-09T00:00:00"/>
    <n v="1"/>
    <x v="1"/>
    <x v="7"/>
    <n v="1023.76"/>
    <n v="1"/>
    <n v="1023.76"/>
    <n v="0"/>
    <x v="0"/>
    <m/>
  </r>
  <r>
    <s v="PAT-3850"/>
    <s v="Donna Lee"/>
    <n v="15"/>
    <x v="5"/>
    <x v="1"/>
    <x v="63"/>
    <d v="2025-03-20T00:00:00"/>
    <n v="5"/>
    <x v="3"/>
    <x v="22"/>
    <n v="3307.88"/>
    <n v="0.8"/>
    <n v="2646.3040000000001"/>
    <n v="661.57600000000002"/>
    <x v="2"/>
    <m/>
  </r>
  <r>
    <s v="PAT-3851"/>
    <s v="Richard Thompson"/>
    <n v="1"/>
    <x v="6"/>
    <x v="0"/>
    <x v="496"/>
    <d v="2024-03-15T00:00:00"/>
    <n v="2"/>
    <x v="3"/>
    <x v="22"/>
    <n v="2503.98"/>
    <n v="0.5"/>
    <n v="1251.99"/>
    <n v="1251.99"/>
    <x v="0"/>
    <m/>
  </r>
  <r>
    <s v="PAT-3852"/>
    <s v="Mark Young"/>
    <n v="36"/>
    <x v="2"/>
    <x v="0"/>
    <x v="385"/>
    <d v="2024-09-20T00:00:00"/>
    <n v="6"/>
    <x v="4"/>
    <x v="11"/>
    <n v="9721.9"/>
    <n v="0"/>
    <n v="0"/>
    <n v="9721.9"/>
    <x v="1"/>
    <m/>
  </r>
  <r>
    <s v="PAT-3853"/>
    <s v="Steven Lewis"/>
    <n v="45"/>
    <x v="0"/>
    <x v="0"/>
    <x v="497"/>
    <d v="2025-05-02T00:00:00"/>
    <n v="7"/>
    <x v="2"/>
    <x v="4"/>
    <n v="8925.93"/>
    <n v="0.7"/>
    <n v="6248.1509999999998"/>
    <n v="2677.7790000000005"/>
    <x v="2"/>
    <m/>
  </r>
  <r>
    <s v="PAT-3854"/>
    <s v="Kevin Anderson"/>
    <n v="31"/>
    <x v="2"/>
    <x v="0"/>
    <x v="391"/>
    <d v="2024-04-28T00:00:00"/>
    <n v="3"/>
    <x v="2"/>
    <x v="10"/>
    <n v="2423.96"/>
    <n v="0.9"/>
    <n v="2181.5640000000003"/>
    <n v="242.39599999999973"/>
    <x v="0"/>
    <m/>
  </r>
  <r>
    <s v="PAT-3855"/>
    <s v="Donna Martin"/>
    <n v="77"/>
    <x v="1"/>
    <x v="1"/>
    <x v="88"/>
    <d v="2024-11-22T00:00:00"/>
    <n v="6"/>
    <x v="2"/>
    <x v="5"/>
    <n v="4453.26"/>
    <n v="0.6"/>
    <n v="2671.9560000000001"/>
    <n v="1781.3040000000001"/>
    <x v="1"/>
    <m/>
  </r>
  <r>
    <s v="PAT-3856"/>
    <s v="Kevin Lewis"/>
    <n v="78"/>
    <x v="1"/>
    <x v="0"/>
    <x v="228"/>
    <d v="2024-09-15T00:00:00"/>
    <n v="3"/>
    <x v="5"/>
    <x v="28"/>
    <n v="4774.57"/>
    <n v="0.9"/>
    <n v="4297.1130000000003"/>
    <n v="477.45699999999943"/>
    <x v="0"/>
    <m/>
  </r>
  <r>
    <s v="PAT-3857"/>
    <s v="Betty Jackson"/>
    <n v="31"/>
    <x v="2"/>
    <x v="1"/>
    <x v="133"/>
    <d v="2024-04-03T00:00:00"/>
    <n v="3"/>
    <x v="1"/>
    <x v="7"/>
    <n v="3412"/>
    <n v="1"/>
    <n v="3412"/>
    <n v="0"/>
    <x v="0"/>
    <m/>
  </r>
  <r>
    <s v="PAT-3858"/>
    <s v="Ashley Martin"/>
    <n v="51"/>
    <x v="0"/>
    <x v="1"/>
    <x v="498"/>
    <d v="2024-10-12T00:00:00"/>
    <n v="1"/>
    <x v="2"/>
    <x v="10"/>
    <n v="1093.33"/>
    <n v="0.8"/>
    <n v="874.66399999999999"/>
    <n v="218.66599999999994"/>
    <x v="0"/>
    <m/>
  </r>
  <r>
    <s v="PAT-3859"/>
    <s v="Linda Lewis"/>
    <n v="3"/>
    <x v="3"/>
    <x v="1"/>
    <x v="499"/>
    <d v="2025-11-07T00:00:00"/>
    <n v="4"/>
    <x v="3"/>
    <x v="9"/>
    <n v="5111.21"/>
    <n v="1"/>
    <n v="5111.21"/>
    <n v="0"/>
    <x v="0"/>
    <m/>
  </r>
  <r>
    <s v="PAT-3860"/>
    <s v="Kevin Walker"/>
    <n v="75"/>
    <x v="1"/>
    <x v="0"/>
    <x v="156"/>
    <d v="2025-03-07T00:00:00"/>
    <n v="6"/>
    <x v="2"/>
    <x v="8"/>
    <n v="5375.85"/>
    <n v="0.7"/>
    <n v="3763.0949999999998"/>
    <n v="1612.7550000000006"/>
    <x v="0"/>
    <m/>
  </r>
  <r>
    <s v="PAT-3861"/>
    <s v="Kevin Lee"/>
    <n v="55"/>
    <x v="0"/>
    <x v="0"/>
    <x v="5"/>
    <d v="2024-07-25T00:00:00"/>
    <n v="4"/>
    <x v="4"/>
    <x v="11"/>
    <n v="9604.6200000000008"/>
    <n v="1"/>
    <n v="9604.6200000000008"/>
    <n v="0"/>
    <x v="1"/>
    <m/>
  </r>
  <r>
    <s v="PAT-3862"/>
    <s v="Betty Lopez"/>
    <n v="51"/>
    <x v="0"/>
    <x v="1"/>
    <x v="500"/>
    <d v="2024-12-14T00:00:00"/>
    <n v="7"/>
    <x v="2"/>
    <x v="33"/>
    <n v="8806.14"/>
    <n v="0.7"/>
    <n v="6164.2979999999989"/>
    <n v="2641.8420000000006"/>
    <x v="0"/>
    <m/>
  </r>
  <r>
    <s v="PAT-3863"/>
    <s v="Kimberly Anderson"/>
    <n v="20"/>
    <x v="2"/>
    <x v="1"/>
    <x v="355"/>
    <d v="2025-01-31T00:00:00"/>
    <n v="2"/>
    <x v="1"/>
    <x v="32"/>
    <n v="3945.82"/>
    <n v="0.8"/>
    <n v="3156.6560000000004"/>
    <n v="789.16399999999976"/>
    <x v="0"/>
    <m/>
  </r>
  <r>
    <s v="PAT-3864"/>
    <s v="Sandra Wilson"/>
    <n v="33"/>
    <x v="2"/>
    <x v="1"/>
    <x v="150"/>
    <d v="2025-08-16T00:00:00"/>
    <n v="1"/>
    <x v="1"/>
    <x v="31"/>
    <n v="2303.3000000000002"/>
    <n v="0.8"/>
    <n v="1842.6400000000003"/>
    <n v="460.65999999999985"/>
    <x v="0"/>
    <m/>
  </r>
  <r>
    <s v="PAT-3865"/>
    <s v="Daniel Thomas"/>
    <n v="9"/>
    <x v="3"/>
    <x v="0"/>
    <x v="437"/>
    <d v="2025-06-07T00:00:00"/>
    <n v="1"/>
    <x v="3"/>
    <x v="23"/>
    <n v="1534.49"/>
    <n v="0.8"/>
    <n v="1227.5920000000001"/>
    <n v="306.89799999999991"/>
    <x v="0"/>
    <m/>
  </r>
  <r>
    <s v="PAT-3866"/>
    <s v="Paul Thomas"/>
    <n v="27"/>
    <x v="2"/>
    <x v="0"/>
    <x v="472"/>
    <d v="2024-02-28T00:00:00"/>
    <n v="1"/>
    <x v="2"/>
    <x v="16"/>
    <n v="1353.93"/>
    <n v="0.8"/>
    <n v="1083.144"/>
    <n v="270.78600000000006"/>
    <x v="0"/>
    <m/>
  </r>
  <r>
    <s v="PAT-3867"/>
    <s v="Dorothy Wilson"/>
    <n v="70"/>
    <x v="1"/>
    <x v="1"/>
    <x v="501"/>
    <d v="2024-05-16T00:00:00"/>
    <n v="6"/>
    <x v="0"/>
    <x v="29"/>
    <n v="12898.02"/>
    <n v="0.5"/>
    <n v="6449.01"/>
    <n v="6449.01"/>
    <x v="1"/>
    <m/>
  </r>
  <r>
    <s v="PAT-3868"/>
    <s v="Karen Jones"/>
    <n v="62"/>
    <x v="0"/>
    <x v="1"/>
    <x v="102"/>
    <d v="2024-05-12T00:00:00"/>
    <n v="4"/>
    <x v="2"/>
    <x v="10"/>
    <n v="4833.0200000000004"/>
    <n v="0.7"/>
    <n v="3383.114"/>
    <n v="1449.9060000000004"/>
    <x v="2"/>
    <m/>
  </r>
  <r>
    <s v="PAT-3869"/>
    <s v="Mark Martinez"/>
    <n v="42"/>
    <x v="2"/>
    <x v="0"/>
    <x v="122"/>
    <d v="2024-11-26T00:00:00"/>
    <n v="3"/>
    <x v="4"/>
    <x v="27"/>
    <n v="3132.44"/>
    <n v="0.8"/>
    <n v="2505.9520000000002"/>
    <n v="626.48799999999983"/>
    <x v="0"/>
    <m/>
  </r>
  <r>
    <s v="PAT-3870"/>
    <s v="Brian Jackson"/>
    <n v="60"/>
    <x v="0"/>
    <x v="0"/>
    <x v="351"/>
    <d v="2025-05-21T00:00:00"/>
    <n v="7"/>
    <x v="5"/>
    <x v="28"/>
    <n v="9720.49"/>
    <n v="0.9"/>
    <n v="8748.4410000000007"/>
    <n v="972.04899999999907"/>
    <x v="1"/>
    <m/>
  </r>
  <r>
    <s v="PAT-3871"/>
    <s v="Sandra Harris"/>
    <n v="16"/>
    <x v="5"/>
    <x v="1"/>
    <x v="27"/>
    <d v="2025-01-28T00:00:00"/>
    <n v="3"/>
    <x v="3"/>
    <x v="9"/>
    <n v="3754.13"/>
    <n v="0.8"/>
    <n v="3003.3040000000001"/>
    <n v="750.82600000000002"/>
    <x v="0"/>
    <m/>
  </r>
  <r>
    <s v="PAT-3872"/>
    <s v="Thomas Smith"/>
    <n v="34"/>
    <x v="2"/>
    <x v="0"/>
    <x v="278"/>
    <d v="2024-10-08T00:00:00"/>
    <n v="4"/>
    <x v="2"/>
    <x v="8"/>
    <n v="5762.53"/>
    <n v="0.9"/>
    <n v="5186.277"/>
    <n v="576.2529999999997"/>
    <x v="0"/>
    <m/>
  </r>
  <r>
    <s v="PAT-3873"/>
    <s v="James Rodriguez"/>
    <n v="79"/>
    <x v="1"/>
    <x v="0"/>
    <x v="502"/>
    <d v="2025-11-08T00:00:00"/>
    <n v="1"/>
    <x v="2"/>
    <x v="21"/>
    <n v="808.56"/>
    <n v="0.7"/>
    <n v="565.99199999999996"/>
    <n v="242.56799999999998"/>
    <x v="0"/>
    <m/>
  </r>
  <r>
    <s v="PAT-3874"/>
    <s v="Dorothy Johnson"/>
    <n v="64"/>
    <x v="0"/>
    <x v="1"/>
    <x v="259"/>
    <d v="2025-11-20T00:00:00"/>
    <n v="8"/>
    <x v="0"/>
    <x v="6"/>
    <n v="15637.55"/>
    <n v="0.9"/>
    <n v="14073.795"/>
    <n v="1563.7549999999992"/>
    <x v="0"/>
    <m/>
  </r>
  <r>
    <s v="PAT-3875"/>
    <s v="Carol Ramirez"/>
    <n v="58"/>
    <x v="0"/>
    <x v="1"/>
    <x v="503"/>
    <d v="2025-03-08T00:00:00"/>
    <n v="2"/>
    <x v="1"/>
    <x v="7"/>
    <n v="4011.18"/>
    <n v="0.9"/>
    <n v="3610.0619999999999"/>
    <n v="401.11799999999994"/>
    <x v="0"/>
    <m/>
  </r>
  <r>
    <s v="PAT-3876"/>
    <s v="Matthew Lee"/>
    <n v="53"/>
    <x v="0"/>
    <x v="0"/>
    <x v="504"/>
    <d v="2024-05-05T00:00:00"/>
    <n v="5"/>
    <x v="0"/>
    <x v="20"/>
    <n v="10693.69"/>
    <n v="1"/>
    <n v="10693.69"/>
    <n v="0"/>
    <x v="0"/>
    <m/>
  </r>
  <r>
    <s v="PAT-3877"/>
    <s v="Michelle Ramirez"/>
    <n v="39"/>
    <x v="2"/>
    <x v="1"/>
    <x v="500"/>
    <d v="2024-12-10T00:00:00"/>
    <n v="3"/>
    <x v="4"/>
    <x v="27"/>
    <n v="3746.98"/>
    <n v="0.8"/>
    <n v="2997.5840000000003"/>
    <n v="749.39599999999973"/>
    <x v="0"/>
    <m/>
  </r>
  <r>
    <s v="PAT-3878"/>
    <s v="Richard Davis"/>
    <n v="31"/>
    <x v="2"/>
    <x v="0"/>
    <x v="114"/>
    <d v="2024-08-21T00:00:00"/>
    <n v="10"/>
    <x v="5"/>
    <x v="34"/>
    <n v="24544.65"/>
    <n v="0.8"/>
    <n v="19635.72"/>
    <n v="4908.93"/>
    <x v="0"/>
    <m/>
  </r>
  <r>
    <s v="PAT-3879"/>
    <s v="Richard Harris"/>
    <n v="35"/>
    <x v="2"/>
    <x v="0"/>
    <x v="505"/>
    <d v="2024-11-09T00:00:00"/>
    <n v="1"/>
    <x v="1"/>
    <x v="31"/>
    <n v="1355.19"/>
    <n v="0.8"/>
    <n v="1084.152"/>
    <n v="271.03800000000001"/>
    <x v="0"/>
    <m/>
  </r>
  <r>
    <s v="PAT-3880"/>
    <s v="Jennifer Jones"/>
    <n v="10"/>
    <x v="3"/>
    <x v="1"/>
    <x v="398"/>
    <d v="2024-07-26T00:00:00"/>
    <n v="1"/>
    <x v="3"/>
    <x v="24"/>
    <n v="628.96"/>
    <n v="0.7"/>
    <n v="440.27199999999999"/>
    <n v="188.68800000000005"/>
    <x v="0"/>
    <m/>
  </r>
  <r>
    <s v="PAT-3881"/>
    <s v="Emily Martinez"/>
    <n v="47"/>
    <x v="0"/>
    <x v="1"/>
    <x v="506"/>
    <d v="2025-01-29T00:00:00"/>
    <n v="2"/>
    <x v="2"/>
    <x v="16"/>
    <n v="2366.37"/>
    <n v="0.8"/>
    <n v="1893.096"/>
    <n v="473.27399999999989"/>
    <x v="0"/>
    <m/>
  </r>
  <r>
    <s v="PAT-3882"/>
    <s v="Kevin Thomas"/>
    <n v="22"/>
    <x v="2"/>
    <x v="0"/>
    <x v="375"/>
    <d v="2024-10-01T00:00:00"/>
    <n v="1"/>
    <x v="1"/>
    <x v="36"/>
    <n v="2471.9699999999998"/>
    <n v="0.5"/>
    <n v="1235.9849999999999"/>
    <n v="1235.9849999999999"/>
    <x v="0"/>
    <m/>
  </r>
  <r>
    <s v="PAT-3883"/>
    <s v="Elizabeth Young"/>
    <n v="51"/>
    <x v="0"/>
    <x v="1"/>
    <x v="485"/>
    <d v="2024-11-20T00:00:00"/>
    <n v="5"/>
    <x v="0"/>
    <x v="19"/>
    <n v="12189.63"/>
    <n v="0.9"/>
    <n v="10970.666999999999"/>
    <n v="1218.9629999999997"/>
    <x v="0"/>
    <m/>
  </r>
  <r>
    <s v="PAT-3884"/>
    <s v="Steven Jones"/>
    <n v="7"/>
    <x v="3"/>
    <x v="0"/>
    <x v="181"/>
    <d v="2025-01-06T00:00:00"/>
    <n v="3"/>
    <x v="3"/>
    <x v="23"/>
    <n v="4133.3599999999997"/>
    <n v="0.6"/>
    <n v="2480.0159999999996"/>
    <n v="1653.3440000000001"/>
    <x v="1"/>
    <m/>
  </r>
  <r>
    <s v="PAT-3885"/>
    <s v="Elizabeth Lee"/>
    <n v="29"/>
    <x v="2"/>
    <x v="1"/>
    <x v="266"/>
    <d v="2025-01-25T00:00:00"/>
    <n v="10"/>
    <x v="4"/>
    <x v="13"/>
    <n v="10560.57"/>
    <n v="0.7"/>
    <n v="7392.3989999999994"/>
    <n v="3168.1710000000003"/>
    <x v="0"/>
    <m/>
  </r>
  <r>
    <s v="PAT-3886"/>
    <s v="Donna Harris"/>
    <n v="55"/>
    <x v="0"/>
    <x v="1"/>
    <x v="5"/>
    <d v="2024-07-27T00:00:00"/>
    <n v="6"/>
    <x v="0"/>
    <x v="20"/>
    <n v="16685.38"/>
    <n v="0.9"/>
    <n v="15016.842000000001"/>
    <n v="1668.5380000000005"/>
    <x v="2"/>
    <m/>
  </r>
  <r>
    <s v="PAT-3887"/>
    <s v="Betty Thompson"/>
    <n v="43"/>
    <x v="2"/>
    <x v="1"/>
    <x v="507"/>
    <d v="2024-06-12T00:00:00"/>
    <n v="5"/>
    <x v="4"/>
    <x v="18"/>
    <n v="12448.18"/>
    <n v="0.9"/>
    <n v="11203.362000000001"/>
    <n v="1244.8179999999993"/>
    <x v="0"/>
    <m/>
  </r>
  <r>
    <s v="PAT-3888"/>
    <s v="Carol Garcia"/>
    <n v="58"/>
    <x v="0"/>
    <x v="1"/>
    <x v="186"/>
    <d v="2024-09-09T00:00:00"/>
    <n v="3"/>
    <x v="5"/>
    <x v="35"/>
    <n v="7181.24"/>
    <n v="0.8"/>
    <n v="5744.9920000000002"/>
    <n v="1436.2479999999996"/>
    <x v="0"/>
    <m/>
  </r>
  <r>
    <s v="PAT-3889"/>
    <s v="Donna Martin"/>
    <n v="51"/>
    <x v="0"/>
    <x v="1"/>
    <x v="508"/>
    <d v="2025-11-26T00:00:00"/>
    <n v="10"/>
    <x v="5"/>
    <x v="12"/>
    <n v="12719.1"/>
    <n v="0.8"/>
    <n v="10175.280000000001"/>
    <n v="2543.8199999999997"/>
    <x v="1"/>
    <m/>
  </r>
  <r>
    <s v="PAT-3890"/>
    <s v="Sarah Walker"/>
    <n v="19"/>
    <x v="2"/>
    <x v="1"/>
    <x v="396"/>
    <d v="2024-07-21T00:00:00"/>
    <n v="5"/>
    <x v="2"/>
    <x v="10"/>
    <n v="3960.59"/>
    <n v="0.7"/>
    <n v="2772.413"/>
    <n v="1188.1770000000001"/>
    <x v="2"/>
    <m/>
  </r>
  <r>
    <s v="PAT-3891"/>
    <s v="Kevin Hernandez"/>
    <n v="73"/>
    <x v="1"/>
    <x v="0"/>
    <x v="509"/>
    <d v="2025-06-06T00:00:00"/>
    <n v="13"/>
    <x v="4"/>
    <x v="26"/>
    <n v="32658.41"/>
    <n v="1"/>
    <n v="32658.41"/>
    <n v="0"/>
    <x v="0"/>
    <m/>
  </r>
  <r>
    <s v="PAT-3892"/>
    <s v="Matthew Miller"/>
    <n v="53"/>
    <x v="0"/>
    <x v="0"/>
    <x v="361"/>
    <d v="2025-01-07T00:00:00"/>
    <n v="3"/>
    <x v="1"/>
    <x v="31"/>
    <n v="4283.7"/>
    <n v="0.7"/>
    <n v="2998.5899999999997"/>
    <n v="1285.1100000000001"/>
    <x v="2"/>
    <m/>
  </r>
  <r>
    <s v="PAT-3893"/>
    <s v="David Clark"/>
    <n v="52"/>
    <x v="0"/>
    <x v="0"/>
    <x v="127"/>
    <d v="2024-07-10T00:00:00"/>
    <n v="2"/>
    <x v="4"/>
    <x v="14"/>
    <n v="5291.81"/>
    <n v="0.5"/>
    <n v="2645.9050000000002"/>
    <n v="2645.9050000000002"/>
    <x v="0"/>
    <m/>
  </r>
  <r>
    <s v="PAT-3894"/>
    <s v="Elizabeth Miller"/>
    <n v="80"/>
    <x v="1"/>
    <x v="1"/>
    <x v="510"/>
    <d v="2024-12-03T00:00:00"/>
    <n v="6"/>
    <x v="2"/>
    <x v="5"/>
    <n v="3170.27"/>
    <n v="0.9"/>
    <n v="2853.2429999999999"/>
    <n v="317.02700000000004"/>
    <x v="0"/>
    <m/>
  </r>
  <r>
    <s v="PAT-3895"/>
    <s v="Brian Thomas"/>
    <n v="32"/>
    <x v="2"/>
    <x v="0"/>
    <x v="511"/>
    <d v="2024-08-21T00:00:00"/>
    <n v="7"/>
    <x v="2"/>
    <x v="21"/>
    <n v="6978.9"/>
    <n v="0.9"/>
    <n v="6281.01"/>
    <n v="697.88999999999942"/>
    <x v="1"/>
    <m/>
  </r>
  <r>
    <s v="PAT-3896"/>
    <s v="Sandra Lewis"/>
    <n v="63"/>
    <x v="0"/>
    <x v="1"/>
    <x v="307"/>
    <d v="2024-08-29T00:00:00"/>
    <n v="6"/>
    <x v="2"/>
    <x v="16"/>
    <n v="4868.46"/>
    <n v="0.8"/>
    <n v="3894.768"/>
    <n v="973.69200000000001"/>
    <x v="0"/>
    <m/>
  </r>
  <r>
    <s v="PAT-3897"/>
    <s v="Mark Martinez"/>
    <n v="58"/>
    <x v="0"/>
    <x v="0"/>
    <x v="257"/>
    <d v="2025-07-09T00:00:00"/>
    <n v="14"/>
    <x v="4"/>
    <x v="11"/>
    <n v="34197.050000000003"/>
    <n v="0.8"/>
    <n v="27357.640000000003"/>
    <n v="6839.41"/>
    <x v="0"/>
    <m/>
  </r>
  <r>
    <s v="PAT-3898"/>
    <s v="Barbara Johnson"/>
    <n v="60"/>
    <x v="0"/>
    <x v="1"/>
    <x v="6"/>
    <d v="2024-02-10T00:00:00"/>
    <n v="1"/>
    <x v="2"/>
    <x v="21"/>
    <n v="647.75"/>
    <n v="0.8"/>
    <n v="518.20000000000005"/>
    <n v="129.54999999999995"/>
    <x v="0"/>
    <m/>
  </r>
  <r>
    <s v="PAT-3899"/>
    <s v="Jessica Williams"/>
    <n v="5"/>
    <x v="3"/>
    <x v="1"/>
    <x v="512"/>
    <d v="2024-06-23T00:00:00"/>
    <n v="5"/>
    <x v="3"/>
    <x v="24"/>
    <n v="3913.66"/>
    <n v="0.9"/>
    <n v="3522.2939999999999"/>
    <n v="391.36599999999999"/>
    <x v="1"/>
    <m/>
  </r>
  <r>
    <s v="PAT-3900"/>
    <s v="Christopher Perez"/>
    <n v="8"/>
    <x v="3"/>
    <x v="0"/>
    <x v="156"/>
    <d v="2025-03-06T00:00:00"/>
    <n v="5"/>
    <x v="3"/>
    <x v="23"/>
    <n v="8364.6200000000008"/>
    <n v="1"/>
    <n v="8364.6200000000008"/>
    <n v="0"/>
    <x v="0"/>
    <m/>
  </r>
  <r>
    <s v="PAT-3901"/>
    <s v="Betty Lewis"/>
    <n v="8"/>
    <x v="3"/>
    <x v="1"/>
    <x v="513"/>
    <d v="2025-12-01T00:00:00"/>
    <n v="1"/>
    <x v="3"/>
    <x v="24"/>
    <n v="750.94"/>
    <n v="0.6"/>
    <n v="450.56400000000002"/>
    <n v="300.37600000000003"/>
    <x v="1"/>
    <m/>
  </r>
  <r>
    <s v="PAT-3902"/>
    <s v="Nancy Clark"/>
    <n v="21"/>
    <x v="2"/>
    <x v="1"/>
    <x v="514"/>
    <d v="2025-09-16T00:00:00"/>
    <n v="1"/>
    <x v="1"/>
    <x v="31"/>
    <n v="1602.23"/>
    <n v="0.9"/>
    <n v="1442.0070000000001"/>
    <n v="160.22299999999996"/>
    <x v="0"/>
    <m/>
  </r>
  <r>
    <s v="PAT-3903"/>
    <s v="Richard Lee"/>
    <n v="26"/>
    <x v="2"/>
    <x v="0"/>
    <x v="242"/>
    <d v="2025-12-31T00:00:00"/>
    <n v="3"/>
    <x v="4"/>
    <x v="14"/>
    <n v="3905.3"/>
    <n v="0.8"/>
    <n v="3124.2400000000002"/>
    <n v="781.06"/>
    <x v="1"/>
    <m/>
  </r>
  <r>
    <s v="PAT-3904"/>
    <s v="Anthony Garcia"/>
    <n v="56"/>
    <x v="0"/>
    <x v="0"/>
    <x v="198"/>
    <d v="2025-03-04T00:00:00"/>
    <n v="4"/>
    <x v="0"/>
    <x v="6"/>
    <n v="10882.46"/>
    <n v="0"/>
    <n v="0"/>
    <n v="10882.46"/>
    <x v="2"/>
    <m/>
  </r>
  <r>
    <s v="PAT-3905"/>
    <s v="Karen Brown"/>
    <n v="40"/>
    <x v="2"/>
    <x v="1"/>
    <x v="467"/>
    <d v="2025-12-05T00:00:00"/>
    <n v="4"/>
    <x v="2"/>
    <x v="10"/>
    <n v="3645.87"/>
    <n v="0.7"/>
    <n v="2552.1089999999999"/>
    <n v="1093.761"/>
    <x v="1"/>
    <m/>
  </r>
  <r>
    <s v="PAT-3906"/>
    <s v="Emily Perez"/>
    <n v="40"/>
    <x v="2"/>
    <x v="1"/>
    <x v="128"/>
    <d v="2025-04-13T00:00:00"/>
    <n v="6"/>
    <x v="2"/>
    <x v="33"/>
    <n v="5871.8"/>
    <n v="0.9"/>
    <n v="5284.62"/>
    <n v="587.18000000000029"/>
    <x v="2"/>
    <m/>
  </r>
  <r>
    <s v="PAT-3907"/>
    <s v="Barbara Smith"/>
    <n v="34"/>
    <x v="2"/>
    <x v="1"/>
    <x v="89"/>
    <d v="2024-02-07T00:00:00"/>
    <n v="3"/>
    <x v="2"/>
    <x v="21"/>
    <n v="2527.5100000000002"/>
    <n v="0.6"/>
    <n v="1516.5060000000001"/>
    <n v="1011.0040000000001"/>
    <x v="1"/>
    <m/>
  </r>
  <r>
    <s v="PAT-3908"/>
    <s v="Lisa Brown"/>
    <n v="40"/>
    <x v="2"/>
    <x v="1"/>
    <x v="511"/>
    <d v="2024-08-20T00:00:00"/>
    <n v="6"/>
    <x v="0"/>
    <x v="0"/>
    <n v="11311.32"/>
    <n v="1"/>
    <n v="11311.32"/>
    <n v="0"/>
    <x v="1"/>
    <m/>
  </r>
  <r>
    <s v="PAT-3909"/>
    <s v="Brian White"/>
    <n v="35"/>
    <x v="2"/>
    <x v="0"/>
    <x v="251"/>
    <d v="2024-06-10T00:00:00"/>
    <n v="6"/>
    <x v="4"/>
    <x v="26"/>
    <n v="14294.04"/>
    <n v="0.8"/>
    <n v="11435.232000000002"/>
    <n v="2858.8079999999991"/>
    <x v="0"/>
    <m/>
  </r>
  <r>
    <s v="PAT-3910"/>
    <s v="Nancy White"/>
    <n v="15"/>
    <x v="5"/>
    <x v="1"/>
    <x v="155"/>
    <d v="2025-06-25T00:00:00"/>
    <n v="2"/>
    <x v="3"/>
    <x v="23"/>
    <n v="3325.48"/>
    <n v="0.6"/>
    <n v="1995.288"/>
    <n v="1330.192"/>
    <x v="0"/>
    <m/>
  </r>
  <r>
    <s v="PAT-3911"/>
    <s v="Brian White"/>
    <n v="84"/>
    <x v="1"/>
    <x v="0"/>
    <x v="515"/>
    <d v="2025-12-21T00:00:00"/>
    <n v="1"/>
    <x v="2"/>
    <x v="8"/>
    <n v="583.35"/>
    <n v="0.5"/>
    <n v="291.67500000000001"/>
    <n v="291.67500000000001"/>
    <x v="2"/>
    <m/>
  </r>
  <r>
    <s v="PAT-3912"/>
    <s v="Matthew Ramirez"/>
    <n v="54"/>
    <x v="0"/>
    <x v="0"/>
    <x v="516"/>
    <d v="2024-02-06T00:00:00"/>
    <n v="6"/>
    <x v="2"/>
    <x v="33"/>
    <n v="6644.98"/>
    <n v="0.9"/>
    <n v="5980.482"/>
    <n v="664.49799999999959"/>
    <x v="0"/>
    <m/>
  </r>
  <r>
    <s v="PAT-3913"/>
    <s v="Kevin Miller"/>
    <n v="75"/>
    <x v="1"/>
    <x v="0"/>
    <x v="312"/>
    <d v="2025-07-06T00:00:00"/>
    <n v="4"/>
    <x v="4"/>
    <x v="11"/>
    <n v="6709.11"/>
    <n v="0.8"/>
    <n v="5367.2880000000005"/>
    <n v="1341.8219999999992"/>
    <x v="2"/>
    <m/>
  </r>
  <r>
    <s v="PAT-3914"/>
    <s v="Kenneth Rodriguez"/>
    <n v="32"/>
    <x v="2"/>
    <x v="0"/>
    <x v="291"/>
    <d v="2024-04-07T00:00:00"/>
    <n v="4"/>
    <x v="5"/>
    <x v="28"/>
    <n v="7216.27"/>
    <n v="0.8"/>
    <n v="5773.0160000000005"/>
    <n v="1443.2539999999999"/>
    <x v="1"/>
    <m/>
  </r>
  <r>
    <s v="PAT-3915"/>
    <s v="Matthew Young"/>
    <n v="45"/>
    <x v="0"/>
    <x v="0"/>
    <x v="34"/>
    <d v="2025-03-30T00:00:00"/>
    <n v="9"/>
    <x v="5"/>
    <x v="34"/>
    <n v="13906.96"/>
    <n v="0.8"/>
    <n v="11125.567999999999"/>
    <n v="2781.3919999999998"/>
    <x v="0"/>
    <m/>
  </r>
  <r>
    <s v="PAT-3916"/>
    <s v="Thomas Lopez"/>
    <n v="68"/>
    <x v="1"/>
    <x v="0"/>
    <x v="35"/>
    <d v="2025-08-19T00:00:00"/>
    <n v="10"/>
    <x v="4"/>
    <x v="18"/>
    <n v="19370.95"/>
    <n v="0.7"/>
    <n v="13559.664999999999"/>
    <n v="5811.2850000000017"/>
    <x v="1"/>
    <m/>
  </r>
  <r>
    <s v="PAT-3917"/>
    <s v="Ashley Johnson"/>
    <n v="42"/>
    <x v="2"/>
    <x v="1"/>
    <x v="487"/>
    <d v="2024-06-16T00:00:00"/>
    <n v="7"/>
    <x v="2"/>
    <x v="10"/>
    <n v="4618.17"/>
    <n v="0.5"/>
    <n v="2309.085"/>
    <n v="2309.085"/>
    <x v="2"/>
    <m/>
  </r>
  <r>
    <s v="PAT-3918"/>
    <s v="Brian Clark"/>
    <n v="35"/>
    <x v="2"/>
    <x v="0"/>
    <x v="361"/>
    <d v="2025-01-07T00:00:00"/>
    <n v="3"/>
    <x v="2"/>
    <x v="10"/>
    <n v="4249.75"/>
    <n v="0.7"/>
    <n v="2974.8249999999998"/>
    <n v="1274.9250000000002"/>
    <x v="2"/>
    <m/>
  </r>
  <r>
    <s v="PAT-3919"/>
    <s v="Daniel Perez"/>
    <n v="60"/>
    <x v="0"/>
    <x v="0"/>
    <x v="294"/>
    <d v="2024-01-06T00:00:00"/>
    <n v="4"/>
    <x v="0"/>
    <x v="0"/>
    <n v="6532.53"/>
    <n v="0.8"/>
    <n v="5226.0240000000003"/>
    <n v="1306.5059999999994"/>
    <x v="2"/>
    <m/>
  </r>
  <r>
    <s v="PAT-3920"/>
    <s v="Michelle Rodriguez"/>
    <n v="60"/>
    <x v="0"/>
    <x v="1"/>
    <x v="463"/>
    <d v="2024-12-07T00:00:00"/>
    <n v="5"/>
    <x v="5"/>
    <x v="35"/>
    <n v="5729.57"/>
    <n v="0.6"/>
    <n v="3437.7419999999997"/>
    <n v="2291.828"/>
    <x v="0"/>
    <m/>
  </r>
  <r>
    <s v="PAT-3921"/>
    <s v="Nancy Lee"/>
    <n v="21"/>
    <x v="2"/>
    <x v="1"/>
    <x v="517"/>
    <d v="2025-06-07T00:00:00"/>
    <n v="2"/>
    <x v="2"/>
    <x v="16"/>
    <n v="2997.87"/>
    <n v="0.7"/>
    <n v="2098.509"/>
    <n v="899.36099999999988"/>
    <x v="0"/>
    <m/>
  </r>
  <r>
    <s v="PAT-3922"/>
    <s v="Thomas Williams"/>
    <n v="54"/>
    <x v="0"/>
    <x v="0"/>
    <x v="85"/>
    <d v="2024-11-04T00:00:00"/>
    <n v="6"/>
    <x v="2"/>
    <x v="10"/>
    <n v="7526.27"/>
    <n v="0.8"/>
    <n v="6021.0160000000005"/>
    <n v="1505.2539999999999"/>
    <x v="0"/>
    <m/>
  </r>
  <r>
    <s v="PAT-3923"/>
    <s v="Emily Harris"/>
    <n v="29"/>
    <x v="2"/>
    <x v="1"/>
    <x v="105"/>
    <d v="2024-06-19T00:00:00"/>
    <n v="2"/>
    <x v="1"/>
    <x v="2"/>
    <n v="4378.0200000000004"/>
    <n v="0.8"/>
    <n v="3502.4160000000006"/>
    <n v="875.60399999999981"/>
    <x v="0"/>
    <m/>
  </r>
  <r>
    <s v="PAT-3924"/>
    <s v="Linda Smith"/>
    <n v="36"/>
    <x v="2"/>
    <x v="1"/>
    <x v="301"/>
    <d v="2024-10-25T00:00:00"/>
    <n v="8"/>
    <x v="4"/>
    <x v="27"/>
    <n v="17866.580000000002"/>
    <n v="0.9"/>
    <n v="16079.922000000002"/>
    <n v="1786.6579999999994"/>
    <x v="2"/>
    <m/>
  </r>
  <r>
    <s v="PAT-3925"/>
    <s v="Michael White"/>
    <n v="79"/>
    <x v="1"/>
    <x v="0"/>
    <x v="518"/>
    <d v="2025-03-22T00:00:00"/>
    <n v="4"/>
    <x v="0"/>
    <x v="20"/>
    <n v="5517.67"/>
    <n v="0.9"/>
    <n v="4965.9030000000002"/>
    <n v="551.76699999999983"/>
    <x v="0"/>
    <m/>
  </r>
  <r>
    <s v="PAT-3926"/>
    <s v="Lisa Williams"/>
    <n v="48"/>
    <x v="0"/>
    <x v="1"/>
    <x v="480"/>
    <d v="2024-10-12T00:00:00"/>
    <n v="7"/>
    <x v="5"/>
    <x v="30"/>
    <n v="14595.77"/>
    <n v="0.8"/>
    <n v="11676.616000000002"/>
    <n v="2919.1539999999986"/>
    <x v="0"/>
    <m/>
  </r>
  <r>
    <s v="PAT-3927"/>
    <s v="Daniel Ramirez"/>
    <n v="42"/>
    <x v="2"/>
    <x v="0"/>
    <x v="175"/>
    <d v="2024-12-01T00:00:00"/>
    <n v="1"/>
    <x v="2"/>
    <x v="8"/>
    <n v="543.05999999999995"/>
    <n v="0.5"/>
    <n v="271.52999999999997"/>
    <n v="271.52999999999997"/>
    <x v="0"/>
    <m/>
  </r>
  <r>
    <s v="PAT-3928"/>
    <s v="Linda Hernandez"/>
    <n v="25"/>
    <x v="2"/>
    <x v="1"/>
    <x v="469"/>
    <d v="2024-01-30T00:00:00"/>
    <n v="5"/>
    <x v="4"/>
    <x v="13"/>
    <n v="5082.0600000000004"/>
    <n v="0"/>
    <n v="0"/>
    <n v="5082.0600000000004"/>
    <x v="1"/>
    <m/>
  </r>
  <r>
    <s v="PAT-3929"/>
    <s v="Joshua Jackson"/>
    <n v="38"/>
    <x v="2"/>
    <x v="0"/>
    <x v="331"/>
    <d v="2025-07-10T00:00:00"/>
    <n v="2"/>
    <x v="1"/>
    <x v="31"/>
    <n v="2871.13"/>
    <n v="0.9"/>
    <n v="2584.0170000000003"/>
    <n v="287.11299999999983"/>
    <x v="0"/>
    <m/>
  </r>
  <r>
    <s v="PAT-3930"/>
    <s v="Sandra Anderson"/>
    <n v="67"/>
    <x v="1"/>
    <x v="1"/>
    <x v="38"/>
    <d v="2024-12-19T00:00:00"/>
    <n v="2"/>
    <x v="4"/>
    <x v="18"/>
    <n v="4425.1499999999996"/>
    <n v="0.7"/>
    <n v="3097.6049999999996"/>
    <n v="1327.5450000000001"/>
    <x v="0"/>
    <m/>
  </r>
  <r>
    <s v="PAT-3931"/>
    <s v="Jennifer Walker"/>
    <n v="28"/>
    <x v="2"/>
    <x v="1"/>
    <x v="361"/>
    <d v="2025-01-05T00:00:00"/>
    <n v="1"/>
    <x v="1"/>
    <x v="7"/>
    <n v="1958.56"/>
    <n v="0.8"/>
    <n v="1566.848"/>
    <n v="391.71199999999999"/>
    <x v="0"/>
    <m/>
  </r>
  <r>
    <s v="PAT-3932"/>
    <s v="Mark Johnson"/>
    <n v="68"/>
    <x v="1"/>
    <x v="0"/>
    <x v="262"/>
    <d v="2025-04-22T00:00:00"/>
    <n v="2"/>
    <x v="2"/>
    <x v="8"/>
    <n v="2268.81"/>
    <n v="0.8"/>
    <n v="1815.048"/>
    <n v="453.76199999999994"/>
    <x v="0"/>
    <m/>
  </r>
  <r>
    <s v="PAT-3933"/>
    <s v="James Jones"/>
    <n v="41"/>
    <x v="2"/>
    <x v="0"/>
    <x v="82"/>
    <d v="2025-09-04T00:00:00"/>
    <n v="9"/>
    <x v="5"/>
    <x v="12"/>
    <n v="22621.47"/>
    <n v="0.7"/>
    <n v="15835.029"/>
    <n v="6786.4410000000007"/>
    <x v="2"/>
    <m/>
  </r>
  <r>
    <s v="PAT-3934"/>
    <s v="Mary Young"/>
    <n v="46"/>
    <x v="0"/>
    <x v="1"/>
    <x v="190"/>
    <d v="2025-11-20T00:00:00"/>
    <n v="3"/>
    <x v="4"/>
    <x v="14"/>
    <n v="3972.12"/>
    <n v="0.5"/>
    <n v="1986.06"/>
    <n v="1986.06"/>
    <x v="1"/>
    <m/>
  </r>
  <r>
    <s v="PAT-3935"/>
    <s v="Susan Brown"/>
    <n v="16"/>
    <x v="5"/>
    <x v="1"/>
    <x v="130"/>
    <d v="2024-05-03T00:00:00"/>
    <n v="1"/>
    <x v="3"/>
    <x v="9"/>
    <n v="921.67"/>
    <n v="1"/>
    <n v="921.67"/>
    <n v="0"/>
    <x v="0"/>
    <m/>
  </r>
  <r>
    <s v="PAT-3936"/>
    <s v="Elizabeth Rodriguez"/>
    <n v="48"/>
    <x v="0"/>
    <x v="1"/>
    <x v="519"/>
    <d v="2024-08-01T00:00:00"/>
    <n v="2"/>
    <x v="1"/>
    <x v="15"/>
    <n v="3783.41"/>
    <n v="0.7"/>
    <n v="2648.3869999999997"/>
    <n v="1135.0230000000001"/>
    <x v="1"/>
    <m/>
  </r>
  <r>
    <s v="PAT-3937"/>
    <s v="David Anderson"/>
    <n v="31"/>
    <x v="2"/>
    <x v="0"/>
    <x v="61"/>
    <d v="2025-01-27T00:00:00"/>
    <n v="3"/>
    <x v="1"/>
    <x v="31"/>
    <n v="3007.82"/>
    <n v="0.6"/>
    <n v="1804.692"/>
    <n v="1203.1280000000002"/>
    <x v="1"/>
    <m/>
  </r>
  <r>
    <s v="PAT-3938"/>
    <s v="Michael Jones"/>
    <n v="12"/>
    <x v="5"/>
    <x v="0"/>
    <x v="520"/>
    <d v="2025-03-22T00:00:00"/>
    <n v="5"/>
    <x v="3"/>
    <x v="37"/>
    <n v="6547.21"/>
    <n v="0.8"/>
    <n v="5237.768"/>
    <n v="1309.442"/>
    <x v="2"/>
    <m/>
  </r>
  <r>
    <s v="PAT-3939"/>
    <s v="Richard Wilson"/>
    <n v="79"/>
    <x v="1"/>
    <x v="0"/>
    <x v="164"/>
    <d v="2025-08-28T00:00:00"/>
    <n v="6"/>
    <x v="5"/>
    <x v="30"/>
    <n v="6760.22"/>
    <n v="0.9"/>
    <n v="6084.1980000000003"/>
    <n v="676.02199999999993"/>
    <x v="0"/>
    <m/>
  </r>
  <r>
    <s v="PAT-3940"/>
    <s v="Robert Perez"/>
    <n v="48"/>
    <x v="0"/>
    <x v="0"/>
    <x v="288"/>
    <d v="2025-04-24T00:00:00"/>
    <n v="3"/>
    <x v="2"/>
    <x v="16"/>
    <n v="3865.55"/>
    <n v="0.8"/>
    <n v="3092.4400000000005"/>
    <n v="773.10999999999967"/>
    <x v="0"/>
    <m/>
  </r>
  <r>
    <s v="PAT-3941"/>
    <s v="Steven Young"/>
    <n v="43"/>
    <x v="2"/>
    <x v="0"/>
    <x v="484"/>
    <d v="2024-04-07T00:00:00"/>
    <n v="6"/>
    <x v="2"/>
    <x v="10"/>
    <n v="5921.38"/>
    <n v="0.7"/>
    <n v="4144.9659999999994"/>
    <n v="1776.4140000000007"/>
    <x v="0"/>
    <m/>
  </r>
  <r>
    <s v="PAT-3942"/>
    <s v="Christopher Lewis"/>
    <n v="34"/>
    <x v="2"/>
    <x v="0"/>
    <x v="8"/>
    <d v="2024-11-20T00:00:00"/>
    <n v="9"/>
    <x v="4"/>
    <x v="18"/>
    <n v="11299.89"/>
    <n v="1"/>
    <n v="11299.89"/>
    <n v="0"/>
    <x v="1"/>
    <m/>
  </r>
  <r>
    <s v="PAT-3943"/>
    <s v="Barbara Jackson"/>
    <n v="15"/>
    <x v="5"/>
    <x v="1"/>
    <x v="90"/>
    <d v="2024-04-14T00:00:00"/>
    <n v="4"/>
    <x v="3"/>
    <x v="23"/>
    <n v="4061.69"/>
    <n v="0.6"/>
    <n v="2437.0140000000001"/>
    <n v="1624.6759999999999"/>
    <x v="0"/>
    <m/>
  </r>
  <r>
    <s v="PAT-3944"/>
    <s v="Ashley White"/>
    <n v="9"/>
    <x v="3"/>
    <x v="1"/>
    <x v="249"/>
    <d v="2024-08-16T00:00:00"/>
    <n v="1"/>
    <x v="3"/>
    <x v="23"/>
    <n v="1243.02"/>
    <n v="0.8"/>
    <n v="994.41600000000005"/>
    <n v="248.60399999999993"/>
    <x v="0"/>
    <m/>
  </r>
  <r>
    <s v="PAT-3945"/>
    <s v="Andrew Ramirez"/>
    <n v="70"/>
    <x v="1"/>
    <x v="0"/>
    <x v="283"/>
    <d v="2024-11-03T00:00:00"/>
    <n v="7"/>
    <x v="4"/>
    <x v="18"/>
    <n v="18613.240000000002"/>
    <n v="0.8"/>
    <n v="14890.592000000002"/>
    <n v="3722.6479999999992"/>
    <x v="0"/>
    <m/>
  </r>
  <r>
    <s v="PAT-3946"/>
    <s v="Betty Robinson"/>
    <n v="31"/>
    <x v="2"/>
    <x v="1"/>
    <x v="521"/>
    <d v="2024-08-25T00:00:00"/>
    <n v="3"/>
    <x v="5"/>
    <x v="12"/>
    <n v="4541.45"/>
    <n v="0.6"/>
    <n v="2724.87"/>
    <n v="1816.58"/>
    <x v="0"/>
    <m/>
  </r>
  <r>
    <s v="PAT-3947"/>
    <s v="Kevin Harris"/>
    <n v="65"/>
    <x v="1"/>
    <x v="0"/>
    <x v="10"/>
    <d v="2025-11-11T00:00:00"/>
    <n v="5"/>
    <x v="0"/>
    <x v="1"/>
    <n v="14897.36"/>
    <n v="1"/>
    <n v="14897.36"/>
    <n v="0"/>
    <x v="0"/>
    <m/>
  </r>
  <r>
    <s v="PAT-3948"/>
    <s v="Kenneth Lewis"/>
    <n v="60"/>
    <x v="0"/>
    <x v="0"/>
    <x v="329"/>
    <d v="2025-04-19T00:00:00"/>
    <n v="5"/>
    <x v="4"/>
    <x v="18"/>
    <n v="5557.59"/>
    <n v="0.7"/>
    <n v="3890.3129999999996"/>
    <n v="1667.2770000000005"/>
    <x v="2"/>
    <m/>
  </r>
  <r>
    <s v="PAT-3949"/>
    <s v="Carol Jones"/>
    <n v="59"/>
    <x v="0"/>
    <x v="1"/>
    <x v="6"/>
    <d v="2024-02-15T00:00:00"/>
    <n v="6"/>
    <x v="0"/>
    <x v="29"/>
    <n v="14526.47"/>
    <n v="0.9"/>
    <n v="13073.823"/>
    <n v="1452.646999999999"/>
    <x v="0"/>
    <m/>
  </r>
  <r>
    <s v="PAT-3950"/>
    <s v="Lisa Lopez"/>
    <n v="33"/>
    <x v="2"/>
    <x v="1"/>
    <x v="477"/>
    <d v="2025-11-07T00:00:00"/>
    <n v="7"/>
    <x v="2"/>
    <x v="33"/>
    <n v="6592.81"/>
    <n v="0.8"/>
    <n v="5274.2480000000005"/>
    <n v="1318.5619999999999"/>
    <x v="1"/>
    <m/>
  </r>
  <r>
    <s v="PAT-3951"/>
    <s v="Elizabeth Johnson"/>
    <n v="45"/>
    <x v="0"/>
    <x v="1"/>
    <x v="356"/>
    <d v="2024-11-06T00:00:00"/>
    <n v="4"/>
    <x v="2"/>
    <x v="21"/>
    <n v="5811.71"/>
    <n v="0.8"/>
    <n v="4649.3680000000004"/>
    <n v="1162.3419999999996"/>
    <x v="0"/>
    <m/>
  </r>
  <r>
    <s v="PAT-3952"/>
    <s v="Barbara Harris"/>
    <n v="72"/>
    <x v="1"/>
    <x v="1"/>
    <x v="234"/>
    <d v="2024-07-20T00:00:00"/>
    <n v="7"/>
    <x v="4"/>
    <x v="27"/>
    <n v="15420.8"/>
    <n v="0.6"/>
    <n v="9252.48"/>
    <n v="6168.32"/>
    <x v="2"/>
    <m/>
  </r>
  <r>
    <s v="PAT-3953"/>
    <s v="Nancy Jones"/>
    <n v="31"/>
    <x v="2"/>
    <x v="1"/>
    <x v="383"/>
    <d v="2024-02-16T00:00:00"/>
    <n v="11"/>
    <x v="4"/>
    <x v="13"/>
    <n v="28706.36"/>
    <n v="0.8"/>
    <n v="22965.088000000003"/>
    <n v="5741.2719999999972"/>
    <x v="0"/>
    <m/>
  </r>
  <r>
    <s v="PAT-3954"/>
    <s v="Sandra Thompson"/>
    <n v="78"/>
    <x v="1"/>
    <x v="1"/>
    <x v="522"/>
    <d v="2024-06-25T00:00:00"/>
    <n v="6"/>
    <x v="0"/>
    <x v="0"/>
    <n v="10923.17"/>
    <n v="0.9"/>
    <n v="9830.853000000001"/>
    <n v="1092.3169999999991"/>
    <x v="1"/>
    <m/>
  </r>
  <r>
    <s v="PAT-3955"/>
    <s v="Jennifer Clark"/>
    <n v="52"/>
    <x v="0"/>
    <x v="1"/>
    <x v="523"/>
    <d v="2025-02-17T00:00:00"/>
    <n v="9"/>
    <x v="5"/>
    <x v="28"/>
    <n v="20558.88"/>
    <n v="0.9"/>
    <n v="18502.992000000002"/>
    <n v="2055.887999999999"/>
    <x v="0"/>
    <m/>
  </r>
  <r>
    <s v="PAT-3956"/>
    <s v="Kenneth Wilson"/>
    <n v="41"/>
    <x v="2"/>
    <x v="0"/>
    <x v="524"/>
    <d v="2025-11-28T00:00:00"/>
    <n v="1"/>
    <x v="2"/>
    <x v="5"/>
    <n v="759.83"/>
    <n v="0.7"/>
    <n v="531.88099999999997"/>
    <n v="227.94900000000007"/>
    <x v="0"/>
    <m/>
  </r>
  <r>
    <s v="PAT-3957"/>
    <s v="Sandra Anderson"/>
    <n v="32"/>
    <x v="2"/>
    <x v="1"/>
    <x v="152"/>
    <d v="2025-02-11T00:00:00"/>
    <n v="2"/>
    <x v="1"/>
    <x v="15"/>
    <n v="2012.29"/>
    <n v="0.7"/>
    <n v="1408.6029999999998"/>
    <n v="603.68700000000013"/>
    <x v="0"/>
    <m/>
  </r>
  <r>
    <s v="PAT-3958"/>
    <s v="Paul Walker"/>
    <n v="39"/>
    <x v="2"/>
    <x v="0"/>
    <x v="507"/>
    <d v="2024-06-13T00:00:00"/>
    <n v="6"/>
    <x v="4"/>
    <x v="11"/>
    <n v="16229.56"/>
    <n v="0.9"/>
    <n v="14606.603999999999"/>
    <n v="1622.9560000000001"/>
    <x v="0"/>
    <m/>
  </r>
  <r>
    <s v="PAT-3959"/>
    <s v="Joseph Jackson"/>
    <n v="52"/>
    <x v="0"/>
    <x v="0"/>
    <x v="377"/>
    <d v="2024-01-19T00:00:00"/>
    <n v="6"/>
    <x v="2"/>
    <x v="5"/>
    <n v="8478.0300000000007"/>
    <n v="0.7"/>
    <n v="5934.6210000000001"/>
    <n v="2543.4090000000006"/>
    <x v="2"/>
    <m/>
  </r>
  <r>
    <s v="PAT-3960"/>
    <s v="Michelle Robinson"/>
    <n v="58"/>
    <x v="0"/>
    <x v="1"/>
    <x v="336"/>
    <d v="2024-07-07T00:00:00"/>
    <n v="10"/>
    <x v="5"/>
    <x v="28"/>
    <n v="23264.42"/>
    <n v="0.6"/>
    <n v="13958.651999999998"/>
    <n v="9305.768"/>
    <x v="0"/>
    <m/>
  </r>
  <r>
    <s v="PAT-3961"/>
    <s v="Betty Garcia"/>
    <n v="82"/>
    <x v="1"/>
    <x v="1"/>
    <x v="400"/>
    <d v="2025-01-01T00:00:00"/>
    <n v="4"/>
    <x v="2"/>
    <x v="10"/>
    <n v="4983.18"/>
    <n v="0.8"/>
    <n v="3986.5440000000003"/>
    <n v="996.63599999999997"/>
    <x v="2"/>
    <m/>
  </r>
  <r>
    <s v="PAT-3962"/>
    <s v="Jennifer Martin"/>
    <n v="47"/>
    <x v="0"/>
    <x v="1"/>
    <x v="525"/>
    <d v="2025-03-25T00:00:00"/>
    <n v="6"/>
    <x v="2"/>
    <x v="10"/>
    <n v="7613.41"/>
    <n v="0.9"/>
    <n v="6852.0690000000004"/>
    <n v="761.34099999999944"/>
    <x v="0"/>
    <m/>
  </r>
  <r>
    <s v="PAT-3963"/>
    <s v="William Jones"/>
    <n v="37"/>
    <x v="2"/>
    <x v="0"/>
    <x v="2"/>
    <d v="2024-04-06T00:00:00"/>
    <n v="1"/>
    <x v="1"/>
    <x v="32"/>
    <n v="2431.81"/>
    <n v="0.8"/>
    <n v="1945.4480000000001"/>
    <n v="486.36199999999985"/>
    <x v="0"/>
    <m/>
  </r>
  <r>
    <s v="PAT-3964"/>
    <s v="Mary Jackson"/>
    <n v="61"/>
    <x v="0"/>
    <x v="1"/>
    <x v="107"/>
    <d v="2024-07-07T00:00:00"/>
    <n v="2"/>
    <x v="2"/>
    <x v="33"/>
    <n v="1073.8900000000001"/>
    <n v="0.7"/>
    <n v="751.72300000000007"/>
    <n v="322.16700000000003"/>
    <x v="1"/>
    <m/>
  </r>
  <r>
    <s v="PAT-3965"/>
    <s v="Emily Ramirez"/>
    <n v="70"/>
    <x v="1"/>
    <x v="1"/>
    <x v="169"/>
    <d v="2025-04-01T00:00:00"/>
    <n v="10"/>
    <x v="0"/>
    <x v="19"/>
    <n v="19302.61"/>
    <n v="1"/>
    <n v="19302.61"/>
    <n v="0"/>
    <x v="2"/>
    <m/>
  </r>
  <r>
    <s v="PAT-3966"/>
    <s v="Kimberly Anderson"/>
    <n v="68"/>
    <x v="1"/>
    <x v="1"/>
    <x v="351"/>
    <d v="2025-05-20T00:00:00"/>
    <n v="6"/>
    <x v="2"/>
    <x v="21"/>
    <n v="4686.18"/>
    <n v="1"/>
    <n v="4686.18"/>
    <n v="0"/>
    <x v="0"/>
    <m/>
  </r>
  <r>
    <s v="PAT-3967"/>
    <s v="Karen Martin"/>
    <n v="7"/>
    <x v="3"/>
    <x v="1"/>
    <x v="394"/>
    <d v="2025-09-26T00:00:00"/>
    <n v="3"/>
    <x v="3"/>
    <x v="37"/>
    <n v="3301.8"/>
    <n v="0.7"/>
    <n v="2311.2599999999998"/>
    <n v="990.54000000000042"/>
    <x v="2"/>
    <m/>
  </r>
  <r>
    <s v="PAT-3968"/>
    <s v="Jessica Hernandez"/>
    <n v="57"/>
    <x v="0"/>
    <x v="1"/>
    <x v="369"/>
    <d v="2024-11-03T00:00:00"/>
    <n v="3"/>
    <x v="4"/>
    <x v="11"/>
    <n v="5980.45"/>
    <n v="1"/>
    <n v="5980.45"/>
    <n v="0"/>
    <x v="0"/>
    <m/>
  </r>
  <r>
    <s v="PAT-3969"/>
    <s v="Donna Thomas"/>
    <n v="34"/>
    <x v="2"/>
    <x v="1"/>
    <x v="359"/>
    <d v="2025-10-06T00:00:00"/>
    <n v="4"/>
    <x v="2"/>
    <x v="10"/>
    <n v="5054.45"/>
    <n v="0.6"/>
    <n v="3032.6699999999996"/>
    <n v="2021.7800000000002"/>
    <x v="1"/>
    <m/>
  </r>
  <r>
    <s v="PAT-3970"/>
    <s v="Thomas Brown"/>
    <n v="52"/>
    <x v="0"/>
    <x v="0"/>
    <x v="526"/>
    <d v="2025-08-09T00:00:00"/>
    <n v="2"/>
    <x v="1"/>
    <x v="31"/>
    <n v="3102.51"/>
    <n v="0.9"/>
    <n v="2792.2590000000005"/>
    <n v="310.25099999999975"/>
    <x v="0"/>
    <m/>
  </r>
  <r>
    <s v="PAT-3971"/>
    <s v="Joshua Taylor"/>
    <n v="66"/>
    <x v="1"/>
    <x v="0"/>
    <x v="93"/>
    <d v="2025-01-19T00:00:00"/>
    <n v="7"/>
    <x v="4"/>
    <x v="18"/>
    <n v="7068.71"/>
    <n v="0.7"/>
    <n v="4948.0969999999998"/>
    <n v="2120.6130000000003"/>
    <x v="2"/>
    <m/>
  </r>
  <r>
    <s v="PAT-3972"/>
    <s v="James Garcia"/>
    <n v="59"/>
    <x v="0"/>
    <x v="0"/>
    <x v="316"/>
    <d v="2024-03-29T00:00:00"/>
    <n v="4"/>
    <x v="4"/>
    <x v="13"/>
    <n v="7018.51"/>
    <n v="0.8"/>
    <n v="5614.8080000000009"/>
    <n v="1403.7019999999993"/>
    <x v="0"/>
    <m/>
  </r>
  <r>
    <s v="PAT-3973"/>
    <s v="Donna Young"/>
    <n v="17"/>
    <x v="5"/>
    <x v="1"/>
    <x v="118"/>
    <d v="2024-11-30T00:00:00"/>
    <n v="1"/>
    <x v="3"/>
    <x v="23"/>
    <n v="895.4"/>
    <n v="0.7"/>
    <n v="626.78"/>
    <n v="268.62"/>
    <x v="1"/>
    <m/>
  </r>
  <r>
    <s v="PAT-3974"/>
    <s v="Linda Lewis"/>
    <n v="25"/>
    <x v="2"/>
    <x v="1"/>
    <x v="227"/>
    <d v="2025-07-20T00:00:00"/>
    <n v="5"/>
    <x v="2"/>
    <x v="8"/>
    <n v="5857.12"/>
    <n v="0.7"/>
    <n v="4099.9839999999995"/>
    <n v="1757.1360000000004"/>
    <x v="0"/>
    <m/>
  </r>
  <r>
    <s v="PAT-3975"/>
    <s v="Emily Walker"/>
    <n v="22"/>
    <x v="2"/>
    <x v="1"/>
    <x v="394"/>
    <d v="2025-09-26T00:00:00"/>
    <n v="3"/>
    <x v="1"/>
    <x v="15"/>
    <n v="5212.57"/>
    <n v="0.9"/>
    <n v="4691.3130000000001"/>
    <n v="521.25699999999961"/>
    <x v="0"/>
    <m/>
  </r>
  <r>
    <s v="PAT-3976"/>
    <s v="Kenneth Garcia"/>
    <n v="73"/>
    <x v="1"/>
    <x v="0"/>
    <x v="400"/>
    <d v="2025-01-04T00:00:00"/>
    <n v="7"/>
    <x v="0"/>
    <x v="29"/>
    <n v="18256.04"/>
    <n v="0.7"/>
    <n v="12779.227999999999"/>
    <n v="5476.8120000000017"/>
    <x v="1"/>
    <m/>
  </r>
  <r>
    <s v="PAT-3977"/>
    <s v="Carol Thomas"/>
    <n v="40"/>
    <x v="2"/>
    <x v="1"/>
    <x v="51"/>
    <d v="2025-04-14T00:00:00"/>
    <n v="10"/>
    <x v="0"/>
    <x v="0"/>
    <n v="22950.92"/>
    <n v="0.8"/>
    <n v="18360.736000000001"/>
    <n v="4590.1839999999975"/>
    <x v="0"/>
    <m/>
  </r>
  <r>
    <s v="PAT-3978"/>
    <s v="Andrew Young"/>
    <n v="65"/>
    <x v="1"/>
    <x v="0"/>
    <x v="18"/>
    <d v="2024-12-30T00:00:00"/>
    <n v="7"/>
    <x v="2"/>
    <x v="21"/>
    <n v="9174.23"/>
    <n v="0.6"/>
    <n v="5504.5379999999996"/>
    <n v="3669.692"/>
    <x v="2"/>
    <m/>
  </r>
  <r>
    <s v="PAT-3979"/>
    <s v="Donna Williams"/>
    <n v="18"/>
    <x v="2"/>
    <x v="1"/>
    <x v="438"/>
    <d v="2025-09-03T00:00:00"/>
    <n v="3"/>
    <x v="2"/>
    <x v="33"/>
    <n v="2502.7600000000002"/>
    <n v="0.8"/>
    <n v="2002.2080000000003"/>
    <n v="500.55199999999991"/>
    <x v="0"/>
    <m/>
  </r>
  <r>
    <s v="PAT-3980"/>
    <s v="Daniel Jackson"/>
    <n v="43"/>
    <x v="2"/>
    <x v="0"/>
    <x v="232"/>
    <d v="2025-10-02T00:00:00"/>
    <n v="3"/>
    <x v="1"/>
    <x v="31"/>
    <n v="6927.74"/>
    <n v="0.9"/>
    <n v="6234.9660000000003"/>
    <n v="692.77399999999943"/>
    <x v="0"/>
    <m/>
  </r>
  <r>
    <s v="PAT-3981"/>
    <s v="Sarah Robinson"/>
    <n v="54"/>
    <x v="0"/>
    <x v="1"/>
    <x v="495"/>
    <d v="2024-09-09T00:00:00"/>
    <n v="5"/>
    <x v="2"/>
    <x v="8"/>
    <n v="4663.1899999999996"/>
    <n v="0.8"/>
    <n v="3730.5519999999997"/>
    <n v="932.63799999999992"/>
    <x v="0"/>
    <m/>
  </r>
  <r>
    <s v="PAT-3982"/>
    <s v="Susan Lewis"/>
    <n v="55"/>
    <x v="0"/>
    <x v="1"/>
    <x v="369"/>
    <d v="2024-11-08T00:00:00"/>
    <n v="8"/>
    <x v="4"/>
    <x v="11"/>
    <n v="20435.29"/>
    <n v="0.7"/>
    <n v="14304.703"/>
    <n v="6130.5870000000014"/>
    <x v="2"/>
    <m/>
  </r>
  <r>
    <s v="PAT-3983"/>
    <s v="Mary Martin"/>
    <n v="81"/>
    <x v="1"/>
    <x v="1"/>
    <x v="527"/>
    <d v="2025-12-20T00:00:00"/>
    <n v="2"/>
    <x v="2"/>
    <x v="8"/>
    <n v="1278.31"/>
    <n v="0.6"/>
    <n v="766.98599999999999"/>
    <n v="511.32399999999996"/>
    <x v="1"/>
    <m/>
  </r>
  <r>
    <s v="PAT-3984"/>
    <s v="Richard Perez"/>
    <n v="44"/>
    <x v="2"/>
    <x v="0"/>
    <x v="330"/>
    <d v="2025-01-21T00:00:00"/>
    <n v="3"/>
    <x v="1"/>
    <x v="32"/>
    <n v="6875.52"/>
    <n v="0.7"/>
    <n v="4812.8639999999996"/>
    <n v="2062.6560000000009"/>
    <x v="0"/>
    <m/>
  </r>
  <r>
    <s v="PAT-3985"/>
    <s v="Elizabeth Lopez"/>
    <n v="57"/>
    <x v="0"/>
    <x v="1"/>
    <x v="114"/>
    <d v="2024-08-17T00:00:00"/>
    <n v="6"/>
    <x v="5"/>
    <x v="28"/>
    <n v="14894.02"/>
    <n v="0.6"/>
    <n v="8936.4120000000003"/>
    <n v="5957.6080000000002"/>
    <x v="0"/>
    <m/>
  </r>
  <r>
    <s v="PAT-3986"/>
    <s v="Sandra Lewis"/>
    <n v="55"/>
    <x v="0"/>
    <x v="1"/>
    <x v="528"/>
    <d v="2025-06-17T00:00:00"/>
    <n v="8"/>
    <x v="4"/>
    <x v="27"/>
    <n v="16185.6"/>
    <n v="1"/>
    <n v="16185.6"/>
    <n v="0"/>
    <x v="0"/>
    <m/>
  </r>
  <r>
    <s v="PAT-3987"/>
    <s v="Sarah Garcia"/>
    <n v="64"/>
    <x v="0"/>
    <x v="1"/>
    <x v="143"/>
    <d v="2024-09-09T00:00:00"/>
    <n v="4"/>
    <x v="2"/>
    <x v="5"/>
    <n v="4017.98"/>
    <n v="1"/>
    <n v="4017.98"/>
    <n v="0"/>
    <x v="0"/>
    <m/>
  </r>
  <r>
    <s v="PAT-3988"/>
    <s v="Dorothy Thompson"/>
    <n v="1"/>
    <x v="6"/>
    <x v="1"/>
    <x v="529"/>
    <d v="2025-08-26T00:00:00"/>
    <n v="2"/>
    <x v="3"/>
    <x v="24"/>
    <n v="1260.77"/>
    <n v="0.8"/>
    <n v="1008.616"/>
    <n v="252.154"/>
    <x v="1"/>
    <m/>
  </r>
  <r>
    <s v="PAT-3989"/>
    <s v="Barbara Rodriguez"/>
    <n v="14"/>
    <x v="5"/>
    <x v="1"/>
    <x v="394"/>
    <d v="2025-09-25T00:00:00"/>
    <n v="2"/>
    <x v="3"/>
    <x v="37"/>
    <n v="2626.23"/>
    <n v="0.6"/>
    <n v="1575.7380000000001"/>
    <n v="1050.492"/>
    <x v="1"/>
    <m/>
  </r>
  <r>
    <s v="PAT-3990"/>
    <s v="Steven White"/>
    <n v="14"/>
    <x v="5"/>
    <x v="0"/>
    <x v="258"/>
    <d v="2024-07-12T00:00:00"/>
    <n v="1"/>
    <x v="3"/>
    <x v="22"/>
    <n v="713.28"/>
    <n v="0"/>
    <n v="0"/>
    <n v="713.28"/>
    <x v="2"/>
    <m/>
  </r>
  <r>
    <s v="PAT-3991"/>
    <s v="Dorothy Taylor"/>
    <n v="64"/>
    <x v="0"/>
    <x v="1"/>
    <x v="283"/>
    <d v="2024-10-31T00:00:00"/>
    <n v="4"/>
    <x v="2"/>
    <x v="10"/>
    <n v="5579.15"/>
    <n v="0.6"/>
    <n v="3347.49"/>
    <n v="2231.66"/>
    <x v="1"/>
    <m/>
  </r>
  <r>
    <s v="PAT-3992"/>
    <s v="Barbara Lee"/>
    <n v="2"/>
    <x v="6"/>
    <x v="1"/>
    <x v="467"/>
    <d v="2025-12-04T00:00:00"/>
    <n v="3"/>
    <x v="3"/>
    <x v="25"/>
    <n v="3033.99"/>
    <n v="0.8"/>
    <n v="2427.192"/>
    <n v="606.79799999999977"/>
    <x v="0"/>
    <m/>
  </r>
  <r>
    <s v="PAT-3993"/>
    <s v="Thomas Miller"/>
    <n v="43"/>
    <x v="2"/>
    <x v="0"/>
    <x v="374"/>
    <d v="2025-11-22T00:00:00"/>
    <n v="2"/>
    <x v="1"/>
    <x v="2"/>
    <n v="4133.9399999999996"/>
    <n v="0.5"/>
    <n v="2066.9699999999998"/>
    <n v="2066.9699999999998"/>
    <x v="0"/>
    <m/>
  </r>
  <r>
    <s v="PAT-3994"/>
    <s v="Joseph Hernandez"/>
    <n v="10"/>
    <x v="3"/>
    <x v="0"/>
    <x v="124"/>
    <d v="2025-07-07T00:00:00"/>
    <n v="4"/>
    <x v="3"/>
    <x v="37"/>
    <n v="4374.76"/>
    <n v="0.9"/>
    <n v="3937.2840000000001"/>
    <n v="437.47600000000011"/>
    <x v="2"/>
    <m/>
  </r>
  <r>
    <s v="PAT-3995"/>
    <s v="Kimberly Lopez"/>
    <n v="51"/>
    <x v="0"/>
    <x v="1"/>
    <x v="530"/>
    <d v="2024-10-06T00:00:00"/>
    <n v="3"/>
    <x v="0"/>
    <x v="0"/>
    <n v="7839.78"/>
    <n v="0.9"/>
    <n v="7055.8019999999997"/>
    <n v="783.97800000000007"/>
    <x v="1"/>
    <m/>
  </r>
  <r>
    <s v="PAT-3996"/>
    <s v="Joshua Miller"/>
    <n v="58"/>
    <x v="0"/>
    <x v="0"/>
    <x v="528"/>
    <d v="2025-06-13T00:00:00"/>
    <n v="4"/>
    <x v="0"/>
    <x v="19"/>
    <n v="10021"/>
    <n v="0.9"/>
    <n v="9018.9"/>
    <n v="1002.1000000000004"/>
    <x v="0"/>
    <m/>
  </r>
  <r>
    <s v="PAT-3997"/>
    <s v="Daniel White"/>
    <n v="75"/>
    <x v="1"/>
    <x v="0"/>
    <x v="476"/>
    <d v="2025-10-14T00:00:00"/>
    <n v="5"/>
    <x v="2"/>
    <x v="33"/>
    <n v="6377.65"/>
    <n v="0.6"/>
    <n v="3826.5899999999997"/>
    <n v="2551.06"/>
    <x v="1"/>
    <m/>
  </r>
  <r>
    <s v="PAT-3998"/>
    <s v="Ashley Brown"/>
    <n v="32"/>
    <x v="2"/>
    <x v="1"/>
    <x v="531"/>
    <d v="2025-04-23T00:00:00"/>
    <n v="1"/>
    <x v="1"/>
    <x v="32"/>
    <n v="1020.62"/>
    <n v="0.6"/>
    <n v="612.37199999999996"/>
    <n v="408.24800000000005"/>
    <x v="0"/>
    <m/>
  </r>
  <r>
    <s v="PAT-3999"/>
    <s v="Robert Ramirez"/>
    <n v="56"/>
    <x v="0"/>
    <x v="0"/>
    <x v="532"/>
    <d v="2025-08-09T00:00:00"/>
    <n v="1"/>
    <x v="1"/>
    <x v="15"/>
    <n v="2315.06"/>
    <n v="0.7"/>
    <n v="1620.5419999999999"/>
    <n v="694.51800000000003"/>
    <x v="0"/>
    <m/>
  </r>
  <r>
    <s v="PAT-4000"/>
    <s v="Jennifer Ramirez"/>
    <n v="18"/>
    <x v="2"/>
    <x v="1"/>
    <x v="472"/>
    <d v="2024-03-02T00:00:00"/>
    <n v="4"/>
    <x v="2"/>
    <x v="16"/>
    <n v="2235.16"/>
    <n v="1"/>
    <n v="2235.16"/>
    <n v="0"/>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31B5F-F227-49D7-8113-D57B8DD11B7A}" name="PivotTable2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Departments">
  <location ref="E23:G29" firstHeaderRow="0" firstDataRow="1" firstDataCol="1"/>
  <pivotFields count="19">
    <pivotField dataField="1"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x v="5"/>
    </i>
  </rowItems>
  <colFields count="1">
    <field x="-2"/>
  </colFields>
  <colItems count="2">
    <i>
      <x/>
    </i>
    <i i="1">
      <x v="1"/>
    </i>
  </colItems>
  <dataFields count="2">
    <dataField name="No. of Patients" fld="0" subtotal="count" baseField="8" baseItem="0" numFmtId="1"/>
    <dataField name="Total Bill Amt." fld="10" baseField="8" baseItem="0" numFmtId="167"/>
  </dataFields>
  <formats count="4">
    <format dxfId="163">
      <pivotArea outline="0" collapsedLevelsAreSubtotals="1" fieldPosition="0"/>
    </format>
    <format dxfId="162">
      <pivotArea dataOnly="0" labelOnly="1" outline="0" axis="axisValues" fieldPosition="0"/>
    </format>
    <format dxfId="161">
      <pivotArea outline="0" collapsedLevelsAreSubtotals="1" fieldPosition="0">
        <references count="1">
          <reference field="4294967294" count="1" selected="0">
            <x v="1"/>
          </reference>
        </references>
      </pivotArea>
    </format>
    <format dxfId="160">
      <pivotArea dataOnly="0" labelOnly="1" outline="0" fieldPosition="0">
        <references count="1">
          <reference field="4294967294" count="1">
            <x v="1"/>
          </reference>
        </references>
      </pivotArea>
    </format>
  </formats>
  <chartFormats count="3">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72699-1B92-4A95-A100-D4389CC9E1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dataField="1"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No. of Patients" fld="0" subtotal="count" baseField="0" baseItem="0" numFmtId="1"/>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33EE3-6F0F-4C4F-B9B0-4B1B69F003AD}"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Age Categories">
  <location ref="G14:H21" firstHeaderRow="1" firstDataRow="1" firstDataCol="1"/>
  <pivotFields count="19">
    <pivotField dataField="1" showAll="0"/>
    <pivotField showAll="0"/>
    <pivotField showAll="0"/>
    <pivotField axis="axisRow" showAll="0">
      <items count="8">
        <item x="6"/>
        <item x="3"/>
        <item x="5"/>
        <item x="2"/>
        <item x="0"/>
        <item x="1"/>
        <item x="4"/>
        <item t="default"/>
      </items>
    </pivotField>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x v="6"/>
    </i>
  </rowItems>
  <colItems count="1">
    <i/>
  </colItems>
  <dataFields count="1">
    <dataField name="No. of Patients" fld="0" subtotal="count" baseField="3" baseItem="0" numFmtId="1"/>
  </dataFields>
  <formats count="2">
    <format dxfId="166">
      <pivotArea dataOnly="0" labelOnly="1" outline="0" axis="axisValues" fieldPosition="0"/>
    </format>
    <format dxfId="165">
      <pivotArea outline="0" collapsedLevelsAreSubtotals="1" fieldPosition="0"/>
    </format>
  </formats>
  <chartFormats count="1">
    <chartFormat chart="1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AAAF3-F17B-40B0-B789-CA9EEDDC1EB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epartments">
  <location ref="G5:H11" firstHeaderRow="1" firstDataRow="1" firstDataCol="1"/>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dataField="1" numFmtId="1"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x v="5"/>
    </i>
  </rowItems>
  <colItems count="1">
    <i/>
  </colItems>
  <dataFields count="1">
    <dataField name="Average Length of Stay" fld="7" subtotal="average" baseField="8" baseItem="0" numFmtId="166"/>
  </dataFields>
  <formats count="2">
    <format dxfId="168">
      <pivotArea dataOnly="0" labelOnly="1" outline="0" axis="axisValues" fieldPosition="0"/>
    </format>
    <format dxfId="1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7F4601-3FBD-462D-899F-B713160555C6}"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epartments">
  <location ref="A5:B11" firstHeaderRow="1" firstDataRow="1" firstDataCol="1"/>
  <pivotFields count="19">
    <pivotField dataField="1"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x v="5"/>
    </i>
  </rowItems>
  <colItems count="1">
    <i/>
  </colItems>
  <dataFields count="1">
    <dataField name="No. of Patients" fld="0" subtotal="count" baseField="8" baseItem="0" numFmtId="1"/>
  </dataFields>
  <formats count="2">
    <format dxfId="170">
      <pivotArea outline="0" collapsedLevelsAreSubtotals="1" fieldPosition="0"/>
    </format>
    <format dxfId="1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956A77-4F81-4522-952B-D4302AF8464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Payment Status">
  <location ref="A14:B17" firstHeaderRow="1" firstDataRow="1" firstDataCol="1"/>
  <pivotFields count="19">
    <pivotField dataField="1"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axis="axisRow"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3">
    <i>
      <x/>
    </i>
    <i>
      <x v="1"/>
    </i>
    <i>
      <x v="2"/>
    </i>
  </rowItems>
  <colItems count="1">
    <i/>
  </colItems>
  <dataFields count="1">
    <dataField name="Percentage Bill Amt." fld="0" subtotal="count" showDataAs="percentOfTotal" baseField="14" baseItem="0" numFmtId="10"/>
  </dataFields>
  <formats count="5">
    <format dxfId="175">
      <pivotArea dataOnly="0" labelOnly="1" outline="0" axis="axisValues" fieldPosition="0"/>
    </format>
    <format dxfId="174">
      <pivotArea outline="0" collapsedLevelsAreSubtotals="1" fieldPosition="0"/>
    </format>
    <format dxfId="173">
      <pivotArea outline="0" fieldPosition="0">
        <references count="1">
          <reference field="4294967294" count="1">
            <x v="0"/>
          </reference>
        </references>
      </pivotArea>
    </format>
    <format dxfId="172">
      <pivotArea collapsedLevelsAreSubtotals="1" fieldPosition="0">
        <references count="1">
          <reference field="14" count="1">
            <x v="0"/>
          </reference>
        </references>
      </pivotArea>
    </format>
    <format dxfId="171">
      <pivotArea collapsedLevelsAreSubtotals="1" fieldPosition="0">
        <references count="1">
          <reference field="14" count="2">
            <x v="1"/>
            <x v="2"/>
          </reference>
        </references>
      </pivotArea>
    </format>
  </formats>
  <chartFormats count="4">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4" count="1" selected="0">
            <x v="0"/>
          </reference>
        </references>
      </pivotArea>
    </chartFormat>
    <chartFormat chart="9" format="15">
      <pivotArea type="data" outline="0" fieldPosition="0">
        <references count="2">
          <reference field="4294967294" count="1" selected="0">
            <x v="0"/>
          </reference>
          <reference field="14" count="1" selected="0">
            <x v="1"/>
          </reference>
        </references>
      </pivotArea>
    </chartFormat>
    <chartFormat chart="9"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CEF71C-1D60-4A16-AF1F-68DB99C007E4}"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Payment Status">
  <location ref="J5:K7" firstHeaderRow="1" firstDataRow="1" firstDataCol="1"/>
  <pivotFields count="19">
    <pivotField dataField="1" showAll="0"/>
    <pivotField showAll="0"/>
    <pivotField showAll="0"/>
    <pivotField showAll="0"/>
    <pivotField axis="axisRow" showAll="0">
      <items count="3">
        <item x="1"/>
        <item x="0"/>
        <item t="default"/>
      </items>
    </pivotField>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
    <i>
      <x/>
    </i>
    <i>
      <x v="1"/>
    </i>
  </rowItems>
  <colItems count="1">
    <i/>
  </colItems>
  <dataFields count="1">
    <dataField name="Count of Patient ID" fld="0" subtotal="count" baseField="0" baseItem="0" numFmtId="1"/>
  </dataFields>
  <formats count="2">
    <format dxfId="177">
      <pivotArea dataOnly="0" labelOnly="1" outline="0" axis="axisValues" fieldPosition="0"/>
    </format>
    <format dxfId="176">
      <pivotArea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DF8500-15A9-4B12-A1E2-13A4933E9F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Bill Amt." fld="10" baseField="0" baseItem="0" numFmtId="167"/>
  </dataFields>
  <formats count="1">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360220-1CC5-4983-A1E6-3539AF68FFB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Departments">
  <location ref="D14:E20" firstHeaderRow="1" firstDataRow="1" firstDataCol="1"/>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dataField="1"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x v="5"/>
    </i>
  </rowItems>
  <colItems count="1">
    <i/>
  </colItems>
  <dataFields count="1">
    <dataField name="Insurance Coverage" fld="11" showDataAs="percentOfTotal" baseField="8" baseItem="0" numFmtId="9"/>
  </dataFields>
  <formats count="3">
    <format dxfId="181">
      <pivotArea dataOnly="0" labelOnly="1" outline="0" axis="axisValues" fieldPosition="0"/>
    </format>
    <format dxfId="180">
      <pivotArea outline="0" fieldPosition="0">
        <references count="1">
          <reference field="4294967294" count="1">
            <x v="0"/>
          </reference>
        </references>
      </pivotArea>
    </format>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870F51-388D-4FEA-A27D-C49FC42F387F}"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Departments">
  <location ref="D5:E11" firstHeaderRow="1" firstDataRow="1" firstDataCol="1"/>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axis="axisRow"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
    <i>
      <x/>
    </i>
    <i>
      <x v="1"/>
    </i>
    <i>
      <x v="2"/>
    </i>
    <i>
      <x v="3"/>
    </i>
    <i>
      <x v="4"/>
    </i>
    <i>
      <x v="5"/>
    </i>
  </rowItems>
  <colItems count="1">
    <i/>
  </colItems>
  <dataFields count="1">
    <dataField name="Total Bill Amt." fld="10" baseField="8" baseItem="0" numFmtId="167"/>
  </dataFields>
  <formats count="2">
    <format dxfId="183">
      <pivotArea outline="0" collapsedLevelsAreSubtotals="1" fieldPosition="0"/>
    </format>
    <format dxfId="1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3738D1-81ED-454B-8CE3-FADF1D7CB8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dataField="1"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Length of Stay" fld="7" subtotal="average" baseField="0" baseItem="0" numFmtId="166"/>
  </dataFields>
  <formats count="1">
    <format dxfId="1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C7865B-74FA-44F7-85B8-6DE6DF03AA7C}"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Time">
  <location ref="A22:C56" firstHeaderRow="0" firstDataRow="1" firstDataCol="1"/>
  <pivotFields count="19">
    <pivotField dataField="1" showAll="0"/>
    <pivotField showAll="0"/>
    <pivotField showAll="0"/>
    <pivotField showAll="0"/>
    <pivotField showAll="0"/>
    <pivotField axis="axisRow"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dataField="1" numFmtId="164" showAll="0"/>
    <pivotField numFmtId="9" showAll="0"/>
    <pivotField numFmtId="164" showAll="0"/>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8"/>
    <field x="17"/>
    <field x="16"/>
    <field x="5"/>
  </rowFields>
  <rowItems count="34">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rowItems>
  <colFields count="1">
    <field x="-2"/>
  </colFields>
  <colItems count="2">
    <i>
      <x/>
    </i>
    <i i="1">
      <x v="1"/>
    </i>
  </colItems>
  <dataFields count="2">
    <dataField name="No. of Patients" fld="0" subtotal="count" baseField="18" baseItem="1"/>
    <dataField name="Total Bill Amt." fld="10" baseField="0" baseItem="0" numFmtId="164"/>
  </dataFields>
  <formats count="4">
    <format dxfId="188">
      <pivotArea dataOnly="0" labelOnly="1" outline="0" axis="axisValues" fieldPosition="0"/>
    </format>
    <format dxfId="187">
      <pivotArea outline="0" collapsedLevelsAreSubtotals="1" fieldPosition="0"/>
    </format>
    <format dxfId="186">
      <pivotArea outline="0" collapsedLevelsAreSubtotals="1" fieldPosition="0">
        <references count="1">
          <reference field="4294967294" count="1" selected="0">
            <x v="1"/>
          </reference>
        </references>
      </pivotArea>
    </format>
    <format dxfId="185">
      <pivotArea dataOnly="0" labelOnly="1" outline="0" fieldPosition="0">
        <references count="1">
          <reference field="4294967294" count="1">
            <x v="1"/>
          </reference>
        </references>
      </pivotArea>
    </format>
  </format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1F93CE-C294-4D9C-A808-EC8AFD76BF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9">
    <pivotField showAll="0"/>
    <pivotField showAll="0"/>
    <pivotField showAll="0"/>
    <pivotField showAll="0"/>
    <pivotField showAll="0"/>
    <pivotField numFmtId="165" showAll="0">
      <items count="534">
        <item x="299"/>
        <item x="294"/>
        <item x="305"/>
        <item x="129"/>
        <item x="101"/>
        <item x="313"/>
        <item x="161"/>
        <item x="202"/>
        <item x="377"/>
        <item x="297"/>
        <item x="462"/>
        <item x="317"/>
        <item x="423"/>
        <item x="387"/>
        <item x="469"/>
        <item x="411"/>
        <item x="516"/>
        <item x="74"/>
        <item x="147"/>
        <item x="282"/>
        <item x="89"/>
        <item x="383"/>
        <item x="366"/>
        <item x="405"/>
        <item x="6"/>
        <item x="158"/>
        <item x="431"/>
        <item x="475"/>
        <item x="304"/>
        <item x="321"/>
        <item x="243"/>
        <item x="233"/>
        <item x="474"/>
        <item x="7"/>
        <item x="91"/>
        <item x="226"/>
        <item x="472"/>
        <item x="337"/>
        <item x="167"/>
        <item x="117"/>
        <item x="260"/>
        <item x="179"/>
        <item x="267"/>
        <item x="256"/>
        <item x="352"/>
        <item x="170"/>
        <item x="496"/>
        <item x="446"/>
        <item x="222"/>
        <item x="403"/>
        <item x="433"/>
        <item x="23"/>
        <item x="31"/>
        <item x="54"/>
        <item x="188"/>
        <item x="316"/>
        <item x="104"/>
        <item x="292"/>
        <item x="426"/>
        <item x="424"/>
        <item x="133"/>
        <item x="484"/>
        <item x="478"/>
        <item x="291"/>
        <item x="492"/>
        <item x="2"/>
        <item x="428"/>
        <item x="115"/>
        <item x="96"/>
        <item x="90"/>
        <item x="401"/>
        <item x="241"/>
        <item x="276"/>
        <item x="113"/>
        <item x="137"/>
        <item x="98"/>
        <item x="435"/>
        <item x="59"/>
        <item x="215"/>
        <item x="391"/>
        <item x="75"/>
        <item x="493"/>
        <item x="364"/>
        <item x="504"/>
        <item x="386"/>
        <item x="130"/>
        <item x="146"/>
        <item x="430"/>
        <item x="419"/>
        <item x="102"/>
        <item x="501"/>
        <item x="327"/>
        <item x="44"/>
        <item x="255"/>
        <item x="315"/>
        <item x="342"/>
        <item x="272"/>
        <item x="110"/>
        <item x="265"/>
        <item x="56"/>
        <item x="64"/>
        <item x="345"/>
        <item x="354"/>
        <item x="17"/>
        <item x="459"/>
        <item x="303"/>
        <item x="235"/>
        <item x="296"/>
        <item x="26"/>
        <item x="251"/>
        <item x="457"/>
        <item x="507"/>
        <item x="372"/>
        <item x="487"/>
        <item x="407"/>
        <item x="277"/>
        <item x="195"/>
        <item x="123"/>
        <item x="105"/>
        <item x="512"/>
        <item x="522"/>
        <item x="25"/>
        <item x="126"/>
        <item x="30"/>
        <item x="201"/>
        <item x="141"/>
        <item x="336"/>
        <item x="373"/>
        <item x="395"/>
        <item x="145"/>
        <item x="322"/>
        <item x="347"/>
        <item x="107"/>
        <item x="49"/>
        <item x="127"/>
        <item x="333"/>
        <item x="73"/>
        <item x="258"/>
        <item x="234"/>
        <item x="0"/>
        <item x="396"/>
        <item x="43"/>
        <item x="178"/>
        <item x="432"/>
        <item x="5"/>
        <item x="368"/>
        <item x="140"/>
        <item x="398"/>
        <item x="12"/>
        <item x="413"/>
        <item x="519"/>
        <item x="349"/>
        <item x="274"/>
        <item x="236"/>
        <item x="187"/>
        <item x="184"/>
        <item x="323"/>
        <item x="144"/>
        <item x="114"/>
        <item x="384"/>
        <item x="511"/>
        <item x="249"/>
        <item x="381"/>
        <item x="456"/>
        <item x="203"/>
        <item x="390"/>
        <item x="13"/>
        <item x="273"/>
        <item x="521"/>
        <item x="307"/>
        <item x="16"/>
        <item x="109"/>
        <item x="81"/>
        <item x="218"/>
        <item x="154"/>
        <item x="293"/>
        <item x="417"/>
        <item x="422"/>
        <item x="495"/>
        <item x="143"/>
        <item x="186"/>
        <item x="139"/>
        <item x="370"/>
        <item x="248"/>
        <item x="47"/>
        <item x="228"/>
        <item x="166"/>
        <item x="385"/>
        <item x="173"/>
        <item x="453"/>
        <item x="489"/>
        <item x="193"/>
        <item x="468"/>
        <item x="450"/>
        <item x="238"/>
        <item x="314"/>
        <item x="375"/>
        <item x="29"/>
        <item x="530"/>
        <item x="278"/>
        <item x="480"/>
        <item x="488"/>
        <item x="192"/>
        <item x="50"/>
        <item x="498"/>
        <item x="460"/>
        <item x="200"/>
        <item x="229"/>
        <item x="99"/>
        <item x="301"/>
        <item x="172"/>
        <item x="68"/>
        <item x="120"/>
        <item x="3"/>
        <item x="84"/>
        <item x="290"/>
        <item x="217"/>
        <item x="283"/>
        <item x="85"/>
        <item x="289"/>
        <item x="369"/>
        <item x="466"/>
        <item x="356"/>
        <item x="339"/>
        <item x="415"/>
        <item x="111"/>
        <item x="481"/>
        <item x="505"/>
        <item x="196"/>
        <item x="340"/>
        <item x="8"/>
        <item x="53"/>
        <item x="418"/>
        <item x="485"/>
        <item x="88"/>
        <item x="22"/>
        <item x="246"/>
        <item x="148"/>
        <item x="122"/>
        <item x="4"/>
        <item x="510"/>
        <item x="207"/>
        <item x="118"/>
        <item x="175"/>
        <item x="463"/>
        <item x="100"/>
        <item x="324"/>
        <item x="500"/>
        <item x="224"/>
        <item x="429"/>
        <item x="37"/>
        <item x="42"/>
        <item x="171"/>
        <item x="302"/>
        <item x="38"/>
        <item x="445"/>
        <item x="87"/>
        <item x="135"/>
        <item x="231"/>
        <item x="18"/>
        <item x="204"/>
        <item x="165"/>
        <item x="440"/>
        <item x="325"/>
        <item x="400"/>
        <item x="360"/>
        <item x="189"/>
        <item x="76"/>
        <item x="181"/>
        <item x="361"/>
        <item x="52"/>
        <item x="45"/>
        <item x="449"/>
        <item x="362"/>
        <item x="93"/>
        <item x="268"/>
        <item x="266"/>
        <item x="444"/>
        <item x="455"/>
        <item x="330"/>
        <item x="67"/>
        <item x="162"/>
        <item x="79"/>
        <item x="334"/>
        <item x="61"/>
        <item x="27"/>
        <item x="348"/>
        <item x="506"/>
        <item x="355"/>
        <item x="376"/>
        <item x="461"/>
        <item x="284"/>
        <item x="343"/>
        <item x="15"/>
        <item x="523"/>
        <item x="152"/>
        <item x="21"/>
        <item x="39"/>
        <item x="197"/>
        <item x="95"/>
        <item x="182"/>
        <item x="177"/>
        <item x="24"/>
        <item x="328"/>
        <item x="470"/>
        <item x="471"/>
        <item x="214"/>
        <item x="198"/>
        <item x="156"/>
        <item x="11"/>
        <item x="78"/>
        <item x="338"/>
        <item x="503"/>
        <item x="389"/>
        <item x="439"/>
        <item x="1"/>
        <item x="63"/>
        <item x="520"/>
        <item x="518"/>
        <item x="525"/>
        <item x="275"/>
        <item x="34"/>
        <item x="169"/>
        <item x="399"/>
        <item x="452"/>
        <item x="402"/>
        <item x="447"/>
        <item x="253"/>
        <item x="244"/>
        <item x="138"/>
        <item x="261"/>
        <item x="199"/>
        <item x="70"/>
        <item x="125"/>
        <item x="306"/>
        <item x="51"/>
        <item x="65"/>
        <item x="28"/>
        <item x="128"/>
        <item x="309"/>
        <item x="388"/>
        <item x="205"/>
        <item x="92"/>
        <item x="421"/>
        <item x="329"/>
        <item x="239"/>
        <item x="213"/>
        <item x="86"/>
        <item x="262"/>
        <item x="288"/>
        <item x="531"/>
        <item x="210"/>
        <item x="58"/>
        <item x="497"/>
        <item x="83"/>
        <item x="57"/>
        <item x="392"/>
        <item x="80"/>
        <item x="409"/>
        <item x="55"/>
        <item x="346"/>
        <item x="97"/>
        <item x="160"/>
        <item x="112"/>
        <item x="281"/>
        <item x="451"/>
        <item x="351"/>
        <item x="358"/>
        <item x="119"/>
        <item x="237"/>
        <item x="408"/>
        <item x="319"/>
        <item x="32"/>
        <item x="136"/>
        <item x="509"/>
        <item x="379"/>
        <item x="19"/>
        <item x="176"/>
        <item x="183"/>
        <item x="36"/>
        <item x="414"/>
        <item x="517"/>
        <item x="437"/>
        <item x="219"/>
        <item x="528"/>
        <item x="254"/>
        <item x="153"/>
        <item x="106"/>
        <item x="163"/>
        <item x="380"/>
        <item x="155"/>
        <item x="332"/>
        <item x="257"/>
        <item x="185"/>
        <item x="416"/>
        <item x="393"/>
        <item x="312"/>
        <item x="124"/>
        <item x="72"/>
        <item x="490"/>
        <item x="286"/>
        <item x="331"/>
        <item x="350"/>
        <item x="271"/>
        <item x="132"/>
        <item x="252"/>
        <item x="208"/>
        <item x="227"/>
        <item x="434"/>
        <item x="365"/>
        <item x="300"/>
        <item x="406"/>
        <item x="131"/>
        <item x="280"/>
        <item x="220"/>
        <item x="194"/>
        <item x="94"/>
        <item x="465"/>
        <item x="230"/>
        <item x="151"/>
        <item x="397"/>
        <item x="9"/>
        <item x="526"/>
        <item x="532"/>
        <item x="35"/>
        <item x="454"/>
        <item x="240"/>
        <item x="150"/>
        <item x="326"/>
        <item x="473"/>
        <item x="250"/>
        <item x="247"/>
        <item x="164"/>
        <item x="529"/>
        <item x="410"/>
        <item x="82"/>
        <item x="448"/>
        <item x="121"/>
        <item x="438"/>
        <item x="71"/>
        <item x="134"/>
        <item x="41"/>
        <item x="269"/>
        <item x="344"/>
        <item x="371"/>
        <item x="108"/>
        <item x="363"/>
        <item x="103"/>
        <item x="149"/>
        <item x="514"/>
        <item x="209"/>
        <item x="441"/>
        <item x="404"/>
        <item x="221"/>
        <item x="48"/>
        <item x="479"/>
        <item x="394"/>
        <item x="318"/>
        <item x="142"/>
        <item x="245"/>
        <item x="232"/>
        <item x="295"/>
        <item x="494"/>
        <item x="359"/>
        <item x="225"/>
        <item x="157"/>
        <item x="116"/>
        <item x="270"/>
        <item x="486"/>
        <item x="476"/>
        <item x="264"/>
        <item x="298"/>
        <item x="60"/>
        <item x="378"/>
        <item x="33"/>
        <item x="482"/>
        <item x="382"/>
        <item x="367"/>
        <item x="168"/>
        <item x="20"/>
        <item x="443"/>
        <item x="427"/>
        <item x="412"/>
        <item x="159"/>
        <item x="420"/>
        <item x="477"/>
        <item x="211"/>
        <item x="499"/>
        <item x="436"/>
        <item x="46"/>
        <item x="10"/>
        <item x="502"/>
        <item x="69"/>
        <item x="311"/>
        <item x="285"/>
        <item x="259"/>
        <item x="483"/>
        <item x="357"/>
        <item x="508"/>
        <item x="190"/>
        <item x="40"/>
        <item x="308"/>
        <item x="374"/>
        <item x="212"/>
        <item x="353"/>
        <item x="442"/>
        <item x="62"/>
        <item x="464"/>
        <item x="524"/>
        <item x="77"/>
        <item x="191"/>
        <item x="513"/>
        <item x="467"/>
        <item x="279"/>
        <item x="174"/>
        <item x="206"/>
        <item x="263"/>
        <item x="491"/>
        <item x="223"/>
        <item x="287"/>
        <item x="14"/>
        <item x="341"/>
        <item x="320"/>
        <item x="425"/>
        <item x="527"/>
        <item x="216"/>
        <item x="515"/>
        <item x="180"/>
        <item x="66"/>
        <item x="335"/>
        <item x="310"/>
        <item x="458"/>
        <item x="242"/>
        <item t="default"/>
      </items>
    </pivotField>
    <pivotField numFmtId="165" showAll="0"/>
    <pivotField numFmtId="1" showAll="0"/>
    <pivotField showAll="0">
      <items count="7">
        <item x="0"/>
        <item x="1"/>
        <item x="2"/>
        <item x="5"/>
        <item x="4"/>
        <item x="3"/>
        <item t="default"/>
      </items>
    </pivotField>
    <pivotField showAll="0">
      <items count="39">
        <item x="2"/>
        <item x="14"/>
        <item x="32"/>
        <item x="25"/>
        <item x="8"/>
        <item x="1"/>
        <item x="6"/>
        <item x="22"/>
        <item x="0"/>
        <item x="37"/>
        <item x="15"/>
        <item x="18"/>
        <item x="36"/>
        <item x="3"/>
        <item x="29"/>
        <item x="10"/>
        <item x="5"/>
        <item x="24"/>
        <item x="34"/>
        <item x="4"/>
        <item x="31"/>
        <item x="16"/>
        <item x="19"/>
        <item x="26"/>
        <item x="20"/>
        <item x="13"/>
        <item x="35"/>
        <item x="17"/>
        <item x="12"/>
        <item x="28"/>
        <item x="21"/>
        <item x="11"/>
        <item x="9"/>
        <item x="7"/>
        <item x="27"/>
        <item x="30"/>
        <item x="23"/>
        <item x="33"/>
        <item t="default"/>
      </items>
    </pivotField>
    <pivotField numFmtId="164" showAll="0"/>
    <pivotField dataField="1" numFmtId="9"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Insurance Coverage" fld="11" subtotal="average" baseField="0" baseItem="0" numFmtId="9"/>
  </dataFields>
  <formats count="3">
    <format dxfId="191">
      <pivotArea type="all" dataOnly="0" outline="0" fieldPosition="0"/>
    </format>
    <format dxfId="190">
      <pivotArea outline="0" collapsedLevelsAreSubtotals="1" fieldPosition="0"/>
    </format>
    <format dxfId="1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55331D-48F5-4C80-88EC-C4E7544A992E}" sourceName="Department">
  <pivotTables>
    <pivotTable tabId="2" name="PivotTable1"/>
    <pivotTable tabId="2" name="PivotTable10"/>
    <pivotTable tabId="2" name="PivotTable12"/>
    <pivotTable tabId="2" name="PivotTable14"/>
    <pivotTable tabId="2" name="PivotTable17"/>
    <pivotTable tabId="2" name="PivotTable2"/>
    <pivotTable tabId="2" name="PivotTable23"/>
    <pivotTable tabId="2" name="PivotTable25"/>
    <pivotTable tabId="2" name="PivotTable4"/>
    <pivotTable tabId="2" name="PivotTable6"/>
    <pivotTable tabId="2" name="PivotTable7"/>
    <pivotTable tabId="2" name="PivotTable8"/>
    <pivotTable tabId="2" name="PivotTable9"/>
  </pivotTables>
  <data>
    <tabular pivotCacheId="1623851544">
      <items count="6">
        <i x="0" s="1"/>
        <i x="1" s="1"/>
        <i x="2" s="1"/>
        <i x="5"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8CBE993B-5802-4DF6-9BD3-A429AEBB6ADB}" sourceName="Diagnosis">
  <pivotTables>
    <pivotTable tabId="2" name="PivotTable1"/>
    <pivotTable tabId="2" name="PivotTable10"/>
    <pivotTable tabId="2" name="PivotTable12"/>
    <pivotTable tabId="2" name="PivotTable14"/>
    <pivotTable tabId="2" name="PivotTable17"/>
    <pivotTable tabId="2" name="PivotTable2"/>
    <pivotTable tabId="2" name="PivotTable23"/>
    <pivotTable tabId="2" name="PivotTable25"/>
    <pivotTable tabId="2" name="PivotTable4"/>
    <pivotTable tabId="2" name="PivotTable6"/>
    <pivotTable tabId="2" name="PivotTable7"/>
    <pivotTable tabId="2" name="PivotTable8"/>
    <pivotTable tabId="2" name="PivotTable9"/>
  </pivotTables>
  <data>
    <tabular pivotCacheId="1623851544">
      <items count="38">
        <i x="2" s="1"/>
        <i x="14" s="1"/>
        <i x="32" s="1"/>
        <i x="25" s="1"/>
        <i x="8" s="1"/>
        <i x="1" s="1"/>
        <i x="6" s="1"/>
        <i x="22" s="1"/>
        <i x="0" s="1"/>
        <i x="37" s="1"/>
        <i x="15" s="1"/>
        <i x="18" s="1"/>
        <i x="36" s="1"/>
        <i x="3" s="1"/>
        <i x="29" s="1"/>
        <i x="10" s="1"/>
        <i x="5" s="1"/>
        <i x="24" s="1"/>
        <i x="34" s="1"/>
        <i x="4" s="1"/>
        <i x="31" s="1"/>
        <i x="16" s="1"/>
        <i x="19" s="1"/>
        <i x="26" s="1"/>
        <i x="20" s="1"/>
        <i x="13" s="1"/>
        <i x="35" s="1"/>
        <i x="17" s="1"/>
        <i x="12" s="1"/>
        <i x="28" s="1"/>
        <i x="21" s="1"/>
        <i x="11" s="1"/>
        <i x="9" s="1"/>
        <i x="7" s="1"/>
        <i x="27" s="1"/>
        <i x="30" s="1"/>
        <i x="23" s="1"/>
        <i x="3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Admission_Date" xr10:uid="{047C0858-9F21-453D-9A2D-4EC3B4EF1E91}" sourceName="Years (Admission Date)">
  <pivotTables>
    <pivotTable tabId="2" name="PivotTable1"/>
    <pivotTable tabId="2" name="PivotTable10"/>
    <pivotTable tabId="2" name="PivotTable12"/>
    <pivotTable tabId="2" name="PivotTable14"/>
    <pivotTable tabId="2" name="PivotTable17"/>
    <pivotTable tabId="2" name="PivotTable2"/>
    <pivotTable tabId="2" name="PivotTable23"/>
    <pivotTable tabId="2" name="PivotTable25"/>
    <pivotTable tabId="2" name="PivotTable4"/>
    <pivotTable tabId="2" name="PivotTable6"/>
    <pivotTable tabId="2" name="PivotTable7"/>
    <pivotTable tabId="2" name="PivotTable8"/>
    <pivotTable tabId="2" name="PivotTable9"/>
  </pivotTables>
  <data>
    <tabular pivotCacheId="162385154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C761749-2FBB-495D-8EAA-40FBEE1E05ED}" cache="Slicer_Department" caption="Department" columnCount="3" rowHeight="251883"/>
  <slicer name="Diagnosis" xr10:uid="{5E9FD466-72FF-4835-B100-3E620229C79E}" cache="Slicer_Diagnosis" caption="Diagnosis" columnCount="4" rowHeight="251883"/>
  <slicer name="Years (Admission Date)" xr10:uid="{BA6F541A-9997-4BCA-94ED-84BE5099C871}" cache="Slicer_Years__Admission_Date" caption="Years (Admission D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EC12-6F6E-4529-8C9C-A293FC67B629}">
  <dimension ref="A1:K56"/>
  <sheetViews>
    <sheetView zoomScale="80" zoomScaleNormal="80" workbookViewId="0">
      <selection activeCell="B16" sqref="B16:B17"/>
    </sheetView>
  </sheetViews>
  <sheetFormatPr defaultRowHeight="14.5" x14ac:dyDescent="0.35"/>
  <cols>
    <col min="1" max="1" width="15" bestFit="1" customWidth="1"/>
    <col min="2" max="2" width="13.36328125" bestFit="1" customWidth="1"/>
    <col min="3" max="3" width="12.81640625" bestFit="1" customWidth="1"/>
    <col min="4" max="4" width="15" bestFit="1" customWidth="1"/>
    <col min="5" max="5" width="12.81640625" bestFit="1" customWidth="1"/>
    <col min="6" max="6" width="13.36328125" bestFit="1" customWidth="1"/>
    <col min="7" max="7" width="15" bestFit="1" customWidth="1"/>
    <col min="8" max="8" width="19.90625" bestFit="1" customWidth="1"/>
    <col min="9" max="9" width="12.81640625" bestFit="1" customWidth="1"/>
    <col min="10" max="10" width="17.26953125" bestFit="1" customWidth="1"/>
    <col min="11" max="11" width="16.7265625" bestFit="1" customWidth="1"/>
    <col min="12" max="12" width="18.36328125" bestFit="1" customWidth="1"/>
    <col min="13" max="13" width="9.26953125" bestFit="1" customWidth="1"/>
    <col min="14" max="14" width="9.54296875" bestFit="1" customWidth="1"/>
    <col min="15" max="15" width="10.36328125" bestFit="1" customWidth="1"/>
  </cols>
  <sheetData>
    <row r="1" spans="1:11" x14ac:dyDescent="0.35">
      <c r="A1" t="s">
        <v>1791</v>
      </c>
      <c r="C1" t="s">
        <v>1766</v>
      </c>
      <c r="E1" t="s">
        <v>1767</v>
      </c>
      <c r="G1" s="19" t="s">
        <v>1771</v>
      </c>
    </row>
    <row r="2" spans="1:11" x14ac:dyDescent="0.35">
      <c r="A2" s="7">
        <v>1000</v>
      </c>
      <c r="C2" s="18">
        <v>8053143.4400000013</v>
      </c>
      <c r="E2" s="5">
        <v>4.8090000000000002</v>
      </c>
      <c r="G2" s="19">
        <v>0.74859999999999782</v>
      </c>
    </row>
    <row r="3" spans="1:11" x14ac:dyDescent="0.35">
      <c r="A3" s="22">
        <f>GETPIVOTDATA("Patient ID",$A$1)</f>
        <v>1000</v>
      </c>
      <c r="C3" s="18">
        <f>GETPIVOTDATA("Total Bill Amount",$C$1)</f>
        <v>8053143.4400000013</v>
      </c>
      <c r="E3" s="5">
        <f>GETPIVOTDATA("Length of Stay",$E$1)</f>
        <v>4.8090000000000002</v>
      </c>
      <c r="G3" s="19">
        <f>GETPIVOTDATA("Insurance  Coverage",$G$1)</f>
        <v>0.74859999999999782</v>
      </c>
    </row>
    <row r="5" spans="1:11" x14ac:dyDescent="0.35">
      <c r="A5" s="16" t="s">
        <v>1768</v>
      </c>
      <c r="B5" s="7" t="s">
        <v>1791</v>
      </c>
      <c r="D5" s="16" t="s">
        <v>1768</v>
      </c>
      <c r="E5" s="18" t="s">
        <v>1766</v>
      </c>
      <c r="G5" s="16" t="s">
        <v>1768</v>
      </c>
      <c r="H5" s="18" t="s">
        <v>1767</v>
      </c>
      <c r="J5" s="16" t="s">
        <v>9</v>
      </c>
      <c r="K5" s="18" t="s">
        <v>1765</v>
      </c>
    </row>
    <row r="6" spans="1:11" x14ac:dyDescent="0.35">
      <c r="A6" s="17" t="s">
        <v>13</v>
      </c>
      <c r="B6" s="7">
        <v>152</v>
      </c>
      <c r="D6" s="17" t="s">
        <v>13</v>
      </c>
      <c r="E6" s="18">
        <v>2095437.9699999988</v>
      </c>
      <c r="G6" s="17" t="s">
        <v>13</v>
      </c>
      <c r="H6" s="5">
        <v>6.4868421052631575</v>
      </c>
      <c r="J6" s="17" t="s">
        <v>18</v>
      </c>
      <c r="K6" s="7">
        <v>512</v>
      </c>
    </row>
    <row r="7" spans="1:11" x14ac:dyDescent="0.35">
      <c r="A7" s="17" t="s">
        <v>23</v>
      </c>
      <c r="B7" s="7">
        <v>190</v>
      </c>
      <c r="D7" s="17" t="s">
        <v>23</v>
      </c>
      <c r="E7" s="18">
        <v>622525.27999999956</v>
      </c>
      <c r="G7" s="17" t="s">
        <v>23</v>
      </c>
      <c r="H7" s="5">
        <v>2.0263157894736841</v>
      </c>
      <c r="J7" s="17" t="s">
        <v>12</v>
      </c>
      <c r="K7" s="7">
        <v>488</v>
      </c>
    </row>
    <row r="8" spans="1:11" x14ac:dyDescent="0.35">
      <c r="A8" s="17" t="s">
        <v>31</v>
      </c>
      <c r="B8" s="7">
        <v>252</v>
      </c>
      <c r="D8" s="17" t="s">
        <v>31</v>
      </c>
      <c r="E8" s="18">
        <v>993026.92000000027</v>
      </c>
      <c r="G8" s="17" t="s">
        <v>31</v>
      </c>
      <c r="H8" s="5">
        <v>3.9285714285714284</v>
      </c>
    </row>
    <row r="9" spans="1:11" x14ac:dyDescent="0.35">
      <c r="A9" s="17" t="s">
        <v>70</v>
      </c>
      <c r="B9" s="7">
        <v>94</v>
      </c>
      <c r="D9" s="17" t="s">
        <v>70</v>
      </c>
      <c r="E9" s="18">
        <v>1215302.99</v>
      </c>
      <c r="G9" s="17" t="s">
        <v>70</v>
      </c>
      <c r="H9" s="5">
        <v>6.9148936170212769</v>
      </c>
    </row>
    <row r="10" spans="1:11" x14ac:dyDescent="0.35">
      <c r="A10" s="17" t="s">
        <v>60</v>
      </c>
      <c r="B10" s="7">
        <v>159</v>
      </c>
      <c r="D10" s="17" t="s">
        <v>60</v>
      </c>
      <c r="E10" s="18">
        <v>2553862.3200000008</v>
      </c>
      <c r="G10" s="17" t="s">
        <v>60</v>
      </c>
      <c r="H10" s="5">
        <v>8.3836477987421389</v>
      </c>
    </row>
    <row r="11" spans="1:11" x14ac:dyDescent="0.35">
      <c r="A11" s="17" t="s">
        <v>49</v>
      </c>
      <c r="B11" s="7">
        <v>153</v>
      </c>
      <c r="D11" s="17" t="s">
        <v>49</v>
      </c>
      <c r="E11" s="18">
        <v>572987.96000000031</v>
      </c>
      <c r="G11" s="17" t="s">
        <v>49</v>
      </c>
      <c r="H11" s="5">
        <v>3.0392156862745097</v>
      </c>
    </row>
    <row r="12" spans="1:11" x14ac:dyDescent="0.35">
      <c r="A12" s="17"/>
      <c r="B12" s="7"/>
      <c r="D12" s="17"/>
      <c r="E12" s="18"/>
      <c r="G12" s="17"/>
      <c r="H12" s="5"/>
    </row>
    <row r="14" spans="1:11" x14ac:dyDescent="0.35">
      <c r="A14" s="16" t="s">
        <v>9</v>
      </c>
      <c r="B14" s="18" t="s">
        <v>1770</v>
      </c>
      <c r="D14" s="16" t="s">
        <v>1768</v>
      </c>
      <c r="E14" s="18" t="s">
        <v>1762</v>
      </c>
      <c r="G14" s="16" t="s">
        <v>1760</v>
      </c>
      <c r="H14" s="18" t="s">
        <v>1791</v>
      </c>
    </row>
    <row r="15" spans="1:11" x14ac:dyDescent="0.35">
      <c r="A15" s="17" t="s">
        <v>15</v>
      </c>
      <c r="B15" s="19">
        <v>0.56399999999999995</v>
      </c>
      <c r="D15" s="17" t="s">
        <v>13</v>
      </c>
      <c r="E15" s="19">
        <v>0.15495591771306449</v>
      </c>
      <c r="G15" s="17" t="s">
        <v>1755</v>
      </c>
      <c r="H15" s="7">
        <v>23</v>
      </c>
    </row>
    <row r="16" spans="1:11" x14ac:dyDescent="0.35">
      <c r="A16" s="17" t="s">
        <v>25</v>
      </c>
      <c r="B16" s="19">
        <v>0.17899999999999999</v>
      </c>
      <c r="D16" s="17" t="s">
        <v>23</v>
      </c>
      <c r="E16" s="19">
        <v>0.19329414907827949</v>
      </c>
      <c r="G16" s="17" t="s">
        <v>1756</v>
      </c>
      <c r="H16" s="7">
        <v>81</v>
      </c>
    </row>
    <row r="17" spans="1:8" x14ac:dyDescent="0.35">
      <c r="A17" s="17" t="s">
        <v>20</v>
      </c>
      <c r="B17" s="19">
        <v>0.25700000000000001</v>
      </c>
      <c r="D17" s="17" t="s">
        <v>31</v>
      </c>
      <c r="E17" s="19">
        <v>0.24873096446700521</v>
      </c>
      <c r="G17" s="17" t="s">
        <v>1757</v>
      </c>
      <c r="H17" s="7">
        <v>49</v>
      </c>
    </row>
    <row r="18" spans="1:8" x14ac:dyDescent="0.35">
      <c r="D18" s="17" t="s">
        <v>70</v>
      </c>
      <c r="E18" s="19">
        <v>9.3641464066256938E-2</v>
      </c>
      <c r="G18" s="17" t="s">
        <v>1747</v>
      </c>
      <c r="H18" s="7">
        <v>291</v>
      </c>
    </row>
    <row r="19" spans="1:8" x14ac:dyDescent="0.35">
      <c r="D19" s="17" t="s">
        <v>60</v>
      </c>
      <c r="E19" s="19">
        <v>0.15816190221747259</v>
      </c>
      <c r="G19" s="17" t="s">
        <v>1749</v>
      </c>
      <c r="H19" s="7">
        <v>313</v>
      </c>
    </row>
    <row r="20" spans="1:8" x14ac:dyDescent="0.35">
      <c r="D20" s="17" t="s">
        <v>49</v>
      </c>
      <c r="E20" s="19">
        <v>0.15121560245792146</v>
      </c>
      <c r="G20" s="17" t="s">
        <v>1751</v>
      </c>
      <c r="H20" s="7">
        <v>237</v>
      </c>
    </row>
    <row r="21" spans="1:8" x14ac:dyDescent="0.35">
      <c r="G21" s="17" t="s">
        <v>1753</v>
      </c>
      <c r="H21" s="7">
        <v>6</v>
      </c>
    </row>
    <row r="22" spans="1:8" x14ac:dyDescent="0.35">
      <c r="A22" s="16" t="s">
        <v>1790</v>
      </c>
      <c r="B22" t="s">
        <v>1791</v>
      </c>
      <c r="C22" s="2" t="s">
        <v>1766</v>
      </c>
    </row>
    <row r="23" spans="1:8" x14ac:dyDescent="0.35">
      <c r="A23" s="17" t="s">
        <v>1772</v>
      </c>
      <c r="B23" s="7">
        <v>508</v>
      </c>
      <c r="C23" s="2">
        <v>4132465.3599999966</v>
      </c>
      <c r="E23" s="16" t="s">
        <v>1768</v>
      </c>
      <c r="F23" t="s">
        <v>1791</v>
      </c>
      <c r="G23" s="18" t="s">
        <v>1766</v>
      </c>
    </row>
    <row r="24" spans="1:8" x14ac:dyDescent="0.35">
      <c r="A24" s="20" t="s">
        <v>1774</v>
      </c>
      <c r="B24" s="7">
        <v>108</v>
      </c>
      <c r="C24" s="2">
        <v>843958.47000000009</v>
      </c>
      <c r="E24" s="17" t="s">
        <v>13</v>
      </c>
      <c r="F24" s="7">
        <v>152</v>
      </c>
      <c r="G24" s="18">
        <v>2095437.9699999988</v>
      </c>
    </row>
    <row r="25" spans="1:8" x14ac:dyDescent="0.35">
      <c r="A25" s="21" t="s">
        <v>1778</v>
      </c>
      <c r="B25" s="7">
        <v>34</v>
      </c>
      <c r="C25" s="2">
        <v>271784.38</v>
      </c>
      <c r="E25" s="17" t="s">
        <v>23</v>
      </c>
      <c r="F25" s="7">
        <v>190</v>
      </c>
      <c r="G25" s="18">
        <v>622525.27999999956</v>
      </c>
    </row>
    <row r="26" spans="1:8" x14ac:dyDescent="0.35">
      <c r="A26" s="21" t="s">
        <v>1779</v>
      </c>
      <c r="B26" s="7">
        <v>35</v>
      </c>
      <c r="C26" s="2">
        <v>309160.4499999999</v>
      </c>
      <c r="E26" s="17" t="s">
        <v>31</v>
      </c>
      <c r="F26" s="7">
        <v>252</v>
      </c>
      <c r="G26" s="18">
        <v>993026.92000000027</v>
      </c>
    </row>
    <row r="27" spans="1:8" x14ac:dyDescent="0.35">
      <c r="A27" s="21" t="s">
        <v>1780</v>
      </c>
      <c r="B27" s="7">
        <v>39</v>
      </c>
      <c r="C27" s="2">
        <v>263013.64</v>
      </c>
      <c r="E27" s="17" t="s">
        <v>70</v>
      </c>
      <c r="F27" s="7">
        <v>94</v>
      </c>
      <c r="G27" s="18">
        <v>1215302.99</v>
      </c>
    </row>
    <row r="28" spans="1:8" x14ac:dyDescent="0.35">
      <c r="A28" s="20" t="s">
        <v>1775</v>
      </c>
      <c r="B28" s="7">
        <v>123</v>
      </c>
      <c r="C28" s="2">
        <v>1071007.5100000007</v>
      </c>
      <c r="E28" s="17" t="s">
        <v>60</v>
      </c>
      <c r="F28" s="7">
        <v>159</v>
      </c>
      <c r="G28" s="18">
        <v>2553862.3200000008</v>
      </c>
    </row>
    <row r="29" spans="1:8" x14ac:dyDescent="0.35">
      <c r="A29" s="21" t="s">
        <v>1781</v>
      </c>
      <c r="B29" s="7">
        <v>44</v>
      </c>
      <c r="C29" s="2">
        <v>314674.54000000004</v>
      </c>
      <c r="E29" s="17" t="s">
        <v>49</v>
      </c>
      <c r="F29" s="7">
        <v>153</v>
      </c>
      <c r="G29" s="18">
        <v>572987.96000000031</v>
      </c>
    </row>
    <row r="30" spans="1:8" x14ac:dyDescent="0.35">
      <c r="A30" s="21" t="s">
        <v>1782</v>
      </c>
      <c r="B30" s="7">
        <v>39</v>
      </c>
      <c r="C30" s="2">
        <v>366399.52000000008</v>
      </c>
    </row>
    <row r="31" spans="1:8" x14ac:dyDescent="0.35">
      <c r="A31" s="21" t="s">
        <v>1783</v>
      </c>
      <c r="B31" s="7">
        <v>40</v>
      </c>
      <c r="C31" s="2">
        <v>389933.44999999984</v>
      </c>
    </row>
    <row r="32" spans="1:8" x14ac:dyDescent="0.35">
      <c r="A32" s="20" t="s">
        <v>1776</v>
      </c>
      <c r="B32" s="7">
        <v>141</v>
      </c>
      <c r="C32" s="2">
        <v>1082388.3599999996</v>
      </c>
    </row>
    <row r="33" spans="1:3" x14ac:dyDescent="0.35">
      <c r="A33" s="21" t="s">
        <v>1784</v>
      </c>
      <c r="B33" s="7">
        <v>51</v>
      </c>
      <c r="C33" s="2">
        <v>421474.20000000019</v>
      </c>
    </row>
    <row r="34" spans="1:3" x14ac:dyDescent="0.35">
      <c r="A34" s="21" t="s">
        <v>1785</v>
      </c>
      <c r="B34" s="7">
        <v>46</v>
      </c>
      <c r="C34" s="2">
        <v>361232.66000000003</v>
      </c>
    </row>
    <row r="35" spans="1:3" x14ac:dyDescent="0.35">
      <c r="A35" s="21" t="s">
        <v>1786</v>
      </c>
      <c r="B35" s="7">
        <v>44</v>
      </c>
      <c r="C35" s="2">
        <v>299681.49999999994</v>
      </c>
    </row>
    <row r="36" spans="1:3" x14ac:dyDescent="0.35">
      <c r="A36" s="20" t="s">
        <v>1777</v>
      </c>
      <c r="B36" s="7">
        <v>136</v>
      </c>
      <c r="C36" s="2">
        <v>1135111.0199999998</v>
      </c>
    </row>
    <row r="37" spans="1:3" x14ac:dyDescent="0.35">
      <c r="A37" s="21" t="s">
        <v>1787</v>
      </c>
      <c r="B37" s="7">
        <v>45</v>
      </c>
      <c r="C37" s="2">
        <v>443607.11000000016</v>
      </c>
    </row>
    <row r="38" spans="1:3" x14ac:dyDescent="0.35">
      <c r="A38" s="21" t="s">
        <v>1788</v>
      </c>
      <c r="B38" s="7">
        <v>43</v>
      </c>
      <c r="C38" s="2">
        <v>317696.95000000007</v>
      </c>
    </row>
    <row r="39" spans="1:3" x14ac:dyDescent="0.35">
      <c r="A39" s="21" t="s">
        <v>1789</v>
      </c>
      <c r="B39" s="7">
        <v>48</v>
      </c>
      <c r="C39" s="2">
        <v>373806.96</v>
      </c>
    </row>
    <row r="40" spans="1:3" x14ac:dyDescent="0.35">
      <c r="A40" s="17" t="s">
        <v>1773</v>
      </c>
      <c r="B40" s="7">
        <v>492</v>
      </c>
      <c r="C40" s="2">
        <v>3920678.0799999973</v>
      </c>
    </row>
    <row r="41" spans="1:3" x14ac:dyDescent="0.35">
      <c r="A41" s="20" t="s">
        <v>1774</v>
      </c>
      <c r="B41" s="7">
        <v>124</v>
      </c>
      <c r="C41" s="2">
        <v>979664.57000000018</v>
      </c>
    </row>
    <row r="42" spans="1:3" x14ac:dyDescent="0.35">
      <c r="A42" s="21" t="s">
        <v>1778</v>
      </c>
      <c r="B42" s="7">
        <v>51</v>
      </c>
      <c r="C42" s="2">
        <v>390905.02000000008</v>
      </c>
    </row>
    <row r="43" spans="1:3" x14ac:dyDescent="0.35">
      <c r="A43" s="21" t="s">
        <v>1779</v>
      </c>
      <c r="B43" s="7">
        <v>31</v>
      </c>
      <c r="C43" s="2">
        <v>254731.22</v>
      </c>
    </row>
    <row r="44" spans="1:3" x14ac:dyDescent="0.35">
      <c r="A44" s="21" t="s">
        <v>1780</v>
      </c>
      <c r="B44" s="7">
        <v>42</v>
      </c>
      <c r="C44" s="2">
        <v>334028.32999999996</v>
      </c>
    </row>
    <row r="45" spans="1:3" x14ac:dyDescent="0.35">
      <c r="A45" s="20" t="s">
        <v>1775</v>
      </c>
      <c r="B45" s="7">
        <v>117</v>
      </c>
      <c r="C45" s="2">
        <v>883087.33999999985</v>
      </c>
    </row>
    <row r="46" spans="1:3" x14ac:dyDescent="0.35">
      <c r="A46" s="21" t="s">
        <v>1781</v>
      </c>
      <c r="B46" s="7">
        <v>50</v>
      </c>
      <c r="C46" s="2">
        <v>344294.6</v>
      </c>
    </row>
    <row r="47" spans="1:3" x14ac:dyDescent="0.35">
      <c r="A47" s="21" t="s">
        <v>1782</v>
      </c>
      <c r="B47" s="7">
        <v>38</v>
      </c>
      <c r="C47" s="2">
        <v>347320.50999999995</v>
      </c>
    </row>
    <row r="48" spans="1:3" x14ac:dyDescent="0.35">
      <c r="A48" s="21" t="s">
        <v>1783</v>
      </c>
      <c r="B48" s="7">
        <v>29</v>
      </c>
      <c r="C48" s="2">
        <v>191472.23000000004</v>
      </c>
    </row>
    <row r="49" spans="1:3" x14ac:dyDescent="0.35">
      <c r="A49" s="20" t="s">
        <v>1776</v>
      </c>
      <c r="B49" s="7">
        <v>118</v>
      </c>
      <c r="C49" s="2">
        <v>936742.03</v>
      </c>
    </row>
    <row r="50" spans="1:3" x14ac:dyDescent="0.35">
      <c r="A50" s="21" t="s">
        <v>1784</v>
      </c>
      <c r="B50" s="7">
        <v>45</v>
      </c>
      <c r="C50" s="2">
        <v>330972.42000000004</v>
      </c>
    </row>
    <row r="51" spans="1:3" x14ac:dyDescent="0.35">
      <c r="A51" s="21" t="s">
        <v>1785</v>
      </c>
      <c r="B51" s="7">
        <v>29</v>
      </c>
      <c r="C51" s="2">
        <v>218754.70000000004</v>
      </c>
    </row>
    <row r="52" spans="1:3" x14ac:dyDescent="0.35">
      <c r="A52" s="21" t="s">
        <v>1786</v>
      </c>
      <c r="B52" s="7">
        <v>44</v>
      </c>
      <c r="C52" s="2">
        <v>387014.90999999992</v>
      </c>
    </row>
    <row r="53" spans="1:3" x14ac:dyDescent="0.35">
      <c r="A53" s="20" t="s">
        <v>1777</v>
      </c>
      <c r="B53" s="7">
        <v>133</v>
      </c>
      <c r="C53" s="2">
        <v>1121184.1400000006</v>
      </c>
    </row>
    <row r="54" spans="1:3" x14ac:dyDescent="0.35">
      <c r="A54" s="21" t="s">
        <v>1787</v>
      </c>
      <c r="B54" s="7">
        <v>39</v>
      </c>
      <c r="C54" s="2">
        <v>297298.9800000001</v>
      </c>
    </row>
    <row r="55" spans="1:3" x14ac:dyDescent="0.35">
      <c r="A55" s="21" t="s">
        <v>1788</v>
      </c>
      <c r="B55" s="7">
        <v>57</v>
      </c>
      <c r="C55" s="2">
        <v>510413.49999999988</v>
      </c>
    </row>
    <row r="56" spans="1:3" x14ac:dyDescent="0.35">
      <c r="A56" s="21" t="s">
        <v>1789</v>
      </c>
      <c r="B56" s="7">
        <v>37</v>
      </c>
      <c r="C56" s="2">
        <v>313471.65999999992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2B0E2-8D59-49BC-88AB-BB80CB1DB5B0}">
  <dimension ref="A1:Y28"/>
  <sheetViews>
    <sheetView tabSelected="1" zoomScale="75" zoomScaleNormal="75" workbookViewId="0">
      <selection activeCell="G30" sqref="G30"/>
    </sheetView>
  </sheetViews>
  <sheetFormatPr defaultRowHeight="16.5" x14ac:dyDescent="0.45"/>
  <cols>
    <col min="1" max="1" width="1.26953125" style="24" customWidth="1"/>
    <col min="2" max="6" width="10" style="24" customWidth="1"/>
    <col min="7" max="25" width="9.08984375" style="24" customWidth="1"/>
    <col min="26" max="16384" width="8.7265625" style="24"/>
  </cols>
  <sheetData>
    <row r="1" spans="1:25" ht="11" customHeight="1" x14ac:dyDescent="0.45">
      <c r="A1" s="23"/>
      <c r="B1" s="23"/>
      <c r="C1" s="23"/>
      <c r="D1" s="23"/>
      <c r="E1" s="23"/>
      <c r="F1" s="23"/>
      <c r="G1" s="26" t="s">
        <v>1792</v>
      </c>
      <c r="H1" s="26"/>
      <c r="I1" s="26"/>
      <c r="J1" s="26"/>
      <c r="K1" s="26"/>
      <c r="L1" s="26"/>
      <c r="M1" s="26"/>
      <c r="N1" s="26"/>
      <c r="O1" s="26"/>
      <c r="P1" s="26"/>
      <c r="Q1" s="26"/>
      <c r="R1" s="26"/>
      <c r="S1" s="26"/>
      <c r="T1" s="26"/>
      <c r="U1" s="23"/>
      <c r="V1" s="23"/>
      <c r="W1" s="23"/>
      <c r="X1" s="23"/>
      <c r="Y1" s="23"/>
    </row>
    <row r="2" spans="1:25" ht="11.5" customHeight="1" x14ac:dyDescent="0.45">
      <c r="A2" s="23"/>
      <c r="B2" s="23"/>
      <c r="C2" s="23"/>
      <c r="D2" s="23"/>
      <c r="E2" s="23"/>
      <c r="F2" s="23"/>
      <c r="G2" s="26"/>
      <c r="H2" s="26"/>
      <c r="I2" s="26"/>
      <c r="J2" s="26"/>
      <c r="K2" s="26"/>
      <c r="L2" s="26"/>
      <c r="M2" s="26"/>
      <c r="N2" s="26"/>
      <c r="O2" s="26"/>
      <c r="P2" s="26"/>
      <c r="Q2" s="26"/>
      <c r="R2" s="26"/>
      <c r="S2" s="26"/>
      <c r="T2" s="26"/>
      <c r="U2" s="23"/>
      <c r="V2" s="23"/>
      <c r="W2" s="23"/>
      <c r="X2" s="23"/>
      <c r="Y2" s="23"/>
    </row>
    <row r="3" spans="1:25" x14ac:dyDescent="0.45">
      <c r="A3" s="23"/>
      <c r="B3" s="25"/>
      <c r="C3" s="25"/>
      <c r="D3" s="25"/>
      <c r="E3" s="25"/>
      <c r="F3" s="25"/>
      <c r="G3" s="25"/>
      <c r="H3" s="23"/>
      <c r="I3" s="23"/>
      <c r="J3" s="23"/>
      <c r="K3" s="23"/>
      <c r="L3" s="23"/>
      <c r="M3" s="23"/>
      <c r="N3" s="23"/>
      <c r="O3" s="23"/>
      <c r="P3" s="23"/>
      <c r="Q3" s="23"/>
      <c r="R3" s="23"/>
      <c r="S3" s="23"/>
      <c r="T3" s="23"/>
      <c r="U3" s="23"/>
      <c r="V3" s="23"/>
      <c r="W3" s="23"/>
      <c r="X3" s="23"/>
      <c r="Y3" s="23"/>
    </row>
    <row r="4" spans="1:25" x14ac:dyDescent="0.45">
      <c r="A4" s="23"/>
      <c r="B4" s="25"/>
      <c r="C4" s="25"/>
      <c r="D4" s="25"/>
      <c r="E4" s="25"/>
      <c r="F4" s="25"/>
      <c r="G4" s="25"/>
      <c r="H4" s="23"/>
      <c r="I4" s="23"/>
      <c r="J4" s="23"/>
      <c r="K4" s="23"/>
      <c r="L4" s="23"/>
      <c r="M4" s="23"/>
      <c r="N4" s="23"/>
      <c r="O4" s="23"/>
      <c r="P4" s="23"/>
      <c r="Q4" s="23"/>
      <c r="R4" s="23"/>
      <c r="S4" s="23"/>
      <c r="T4" s="23"/>
      <c r="U4" s="23"/>
      <c r="V4" s="23"/>
      <c r="W4" s="23"/>
      <c r="X4" s="23"/>
      <c r="Y4" s="23"/>
    </row>
    <row r="5" spans="1:25" x14ac:dyDescent="0.45">
      <c r="A5" s="23"/>
      <c r="B5" s="25"/>
      <c r="C5" s="25"/>
      <c r="D5" s="25"/>
      <c r="E5" s="25"/>
      <c r="F5" s="25"/>
      <c r="G5" s="25"/>
      <c r="H5" s="23"/>
      <c r="I5" s="23"/>
      <c r="J5" s="23"/>
      <c r="K5" s="23"/>
      <c r="L5" s="23"/>
      <c r="M5" s="23"/>
      <c r="N5" s="23"/>
      <c r="O5" s="23"/>
      <c r="P5" s="23"/>
      <c r="Q5" s="23"/>
      <c r="R5" s="23"/>
      <c r="S5" s="23"/>
      <c r="T5" s="23"/>
      <c r="U5" s="23"/>
      <c r="V5" s="23"/>
      <c r="W5" s="23"/>
      <c r="X5" s="23"/>
      <c r="Y5" s="23"/>
    </row>
    <row r="6" spans="1:25" x14ac:dyDescent="0.45">
      <c r="A6" s="23"/>
      <c r="B6" s="25"/>
      <c r="C6" s="25"/>
      <c r="D6" s="25"/>
      <c r="E6" s="25"/>
      <c r="F6" s="25"/>
      <c r="G6" s="25"/>
      <c r="H6" s="23"/>
      <c r="I6" s="23"/>
      <c r="J6" s="23"/>
      <c r="K6" s="23"/>
      <c r="L6" s="23"/>
      <c r="M6" s="23"/>
      <c r="N6" s="23"/>
      <c r="O6" s="23"/>
      <c r="P6" s="23"/>
      <c r="Q6" s="23"/>
      <c r="R6" s="23"/>
      <c r="S6" s="23"/>
      <c r="T6" s="23"/>
      <c r="U6" s="23"/>
      <c r="V6" s="23"/>
      <c r="W6" s="23"/>
      <c r="X6" s="23"/>
      <c r="Y6" s="23"/>
    </row>
    <row r="7" spans="1:25" x14ac:dyDescent="0.45">
      <c r="A7" s="23"/>
      <c r="B7" s="25"/>
      <c r="C7" s="25"/>
      <c r="D7" s="25"/>
      <c r="E7" s="25"/>
      <c r="F7" s="25"/>
      <c r="G7" s="25"/>
      <c r="H7" s="23"/>
      <c r="I7" s="23"/>
      <c r="J7" s="23"/>
      <c r="K7" s="23"/>
      <c r="L7" s="23"/>
      <c r="M7" s="23"/>
      <c r="N7" s="23"/>
      <c r="O7" s="23"/>
      <c r="P7" s="23"/>
      <c r="Q7" s="23"/>
      <c r="R7" s="23"/>
      <c r="S7" s="23"/>
      <c r="T7" s="23"/>
      <c r="U7" s="23"/>
      <c r="V7" s="23"/>
      <c r="W7" s="23"/>
      <c r="X7" s="23"/>
      <c r="Y7" s="23"/>
    </row>
    <row r="8" spans="1:25" x14ac:dyDescent="0.45">
      <c r="A8" s="23"/>
      <c r="B8" s="25"/>
      <c r="C8" s="25"/>
      <c r="D8" s="25"/>
      <c r="E8" s="25"/>
      <c r="F8" s="25"/>
      <c r="G8" s="25"/>
      <c r="H8" s="23"/>
      <c r="I8" s="23"/>
      <c r="J8" s="23"/>
      <c r="K8" s="23"/>
      <c r="L8" s="23"/>
      <c r="M8" s="23"/>
      <c r="N8" s="23"/>
      <c r="O8" s="23"/>
      <c r="P8" s="23"/>
      <c r="Q8" s="23"/>
      <c r="R8" s="23"/>
      <c r="S8" s="23"/>
      <c r="T8" s="23"/>
      <c r="U8" s="23"/>
      <c r="V8" s="23"/>
      <c r="W8" s="23"/>
      <c r="X8" s="23"/>
      <c r="Y8" s="23"/>
    </row>
    <row r="9" spans="1:25" x14ac:dyDescent="0.45">
      <c r="A9" s="23"/>
      <c r="B9" s="25"/>
      <c r="C9" s="25"/>
      <c r="D9" s="25"/>
      <c r="E9" s="25"/>
      <c r="F9" s="25"/>
      <c r="G9" s="25"/>
      <c r="H9" s="23"/>
      <c r="I9" s="23"/>
      <c r="J9" s="23"/>
      <c r="K9" s="23"/>
      <c r="L9" s="23"/>
      <c r="M9" s="23"/>
      <c r="N9" s="23"/>
      <c r="O9" s="23"/>
      <c r="P9" s="23"/>
      <c r="Q9" s="23"/>
      <c r="R9" s="23"/>
      <c r="S9" s="23"/>
      <c r="T9" s="23"/>
      <c r="U9" s="23"/>
      <c r="V9" s="23"/>
      <c r="W9" s="23"/>
      <c r="X9" s="23"/>
      <c r="Y9" s="23"/>
    </row>
    <row r="10" spans="1:25" x14ac:dyDescent="0.45">
      <c r="A10" s="23"/>
      <c r="B10" s="25"/>
      <c r="C10" s="25"/>
      <c r="D10" s="25"/>
      <c r="E10" s="25"/>
      <c r="F10" s="25"/>
      <c r="G10" s="25"/>
      <c r="H10" s="23"/>
      <c r="I10" s="23"/>
      <c r="J10" s="23"/>
      <c r="K10" s="23"/>
      <c r="L10" s="23"/>
      <c r="M10" s="23"/>
      <c r="N10" s="23"/>
      <c r="O10" s="23"/>
      <c r="P10" s="23"/>
      <c r="Q10" s="23"/>
      <c r="R10" s="23"/>
      <c r="S10" s="23"/>
      <c r="T10" s="23"/>
      <c r="U10" s="23"/>
      <c r="V10" s="23"/>
      <c r="W10" s="23"/>
      <c r="X10" s="23"/>
      <c r="Y10" s="23"/>
    </row>
    <row r="11" spans="1:25" x14ac:dyDescent="0.45">
      <c r="A11" s="23"/>
      <c r="B11" s="25"/>
      <c r="C11" s="25"/>
      <c r="D11" s="25"/>
      <c r="E11" s="25"/>
      <c r="F11" s="25"/>
      <c r="G11" s="25"/>
      <c r="H11" s="23"/>
      <c r="I11" s="23"/>
      <c r="J11" s="23"/>
      <c r="K11" s="23"/>
      <c r="L11" s="23"/>
      <c r="M11" s="23"/>
      <c r="N11" s="23"/>
      <c r="O11" s="23"/>
      <c r="P11" s="23"/>
      <c r="Q11" s="23"/>
      <c r="R11" s="23"/>
      <c r="S11" s="23"/>
      <c r="T11" s="23"/>
      <c r="U11" s="23"/>
      <c r="V11" s="23"/>
      <c r="W11" s="23"/>
      <c r="X11" s="23"/>
      <c r="Y11" s="23"/>
    </row>
    <row r="12" spans="1:25" x14ac:dyDescent="0.45">
      <c r="A12" s="23"/>
      <c r="B12" s="25"/>
      <c r="C12" s="25"/>
      <c r="D12" s="25"/>
      <c r="E12" s="25"/>
      <c r="F12" s="25"/>
      <c r="G12" s="25"/>
      <c r="H12" s="23"/>
      <c r="I12" s="23"/>
      <c r="J12" s="23"/>
      <c r="K12" s="23"/>
      <c r="L12" s="23"/>
      <c r="M12" s="23"/>
      <c r="N12" s="23"/>
      <c r="O12" s="23"/>
      <c r="P12" s="23"/>
      <c r="Q12" s="23"/>
      <c r="R12" s="23"/>
      <c r="S12" s="23"/>
      <c r="T12" s="23"/>
      <c r="U12" s="23"/>
      <c r="V12" s="23"/>
      <c r="W12" s="23"/>
      <c r="X12" s="23"/>
      <c r="Y12" s="23"/>
    </row>
    <row r="13" spans="1:25" x14ac:dyDescent="0.45">
      <c r="A13" s="23"/>
      <c r="B13" s="25"/>
      <c r="C13" s="25"/>
      <c r="D13" s="25"/>
      <c r="E13" s="25"/>
      <c r="F13" s="25"/>
      <c r="G13" s="25"/>
      <c r="H13" s="23"/>
      <c r="I13" s="23"/>
      <c r="J13" s="23"/>
      <c r="K13" s="23"/>
      <c r="L13" s="23"/>
      <c r="M13" s="23"/>
      <c r="N13" s="23"/>
      <c r="O13" s="23"/>
      <c r="P13" s="23"/>
      <c r="Q13" s="23"/>
      <c r="R13" s="23"/>
      <c r="S13" s="23"/>
      <c r="T13" s="23"/>
      <c r="U13" s="23"/>
      <c r="V13" s="23"/>
      <c r="W13" s="23"/>
      <c r="X13" s="23"/>
      <c r="Y13" s="23"/>
    </row>
    <row r="14" spans="1:25" x14ac:dyDescent="0.45">
      <c r="A14" s="23"/>
      <c r="B14" s="25"/>
      <c r="C14" s="25"/>
      <c r="D14" s="25"/>
      <c r="E14" s="25"/>
      <c r="F14" s="25"/>
      <c r="G14" s="25"/>
      <c r="H14" s="23"/>
      <c r="I14" s="23"/>
      <c r="J14" s="23"/>
      <c r="K14" s="23"/>
      <c r="L14" s="23"/>
      <c r="M14" s="23"/>
      <c r="N14" s="23"/>
      <c r="O14" s="23"/>
      <c r="P14" s="23"/>
      <c r="Q14" s="23"/>
      <c r="R14" s="23"/>
      <c r="S14" s="23"/>
      <c r="T14" s="23"/>
      <c r="U14" s="23"/>
      <c r="V14" s="23"/>
      <c r="W14" s="23"/>
      <c r="X14" s="23"/>
      <c r="Y14" s="23"/>
    </row>
    <row r="15" spans="1:25" x14ac:dyDescent="0.45">
      <c r="A15" s="23"/>
      <c r="B15" s="25"/>
      <c r="C15" s="25"/>
      <c r="D15" s="25"/>
      <c r="E15" s="25"/>
      <c r="F15" s="25"/>
      <c r="G15" s="25"/>
      <c r="H15" s="23"/>
      <c r="I15" s="23"/>
      <c r="J15" s="23"/>
      <c r="K15" s="23"/>
      <c r="L15" s="23"/>
      <c r="M15" s="23"/>
      <c r="N15" s="23"/>
      <c r="O15" s="23"/>
      <c r="P15" s="23"/>
      <c r="Q15" s="23"/>
      <c r="R15" s="23"/>
      <c r="S15" s="23"/>
      <c r="T15" s="23"/>
      <c r="U15" s="23"/>
      <c r="V15" s="23"/>
      <c r="W15" s="23"/>
      <c r="X15" s="23"/>
      <c r="Y15" s="23"/>
    </row>
    <row r="16" spans="1:25" x14ac:dyDescent="0.45">
      <c r="A16" s="23"/>
      <c r="B16" s="25"/>
      <c r="C16" s="25"/>
      <c r="D16" s="25"/>
      <c r="E16" s="25"/>
      <c r="F16" s="25"/>
      <c r="G16" s="25"/>
      <c r="H16" s="23"/>
      <c r="I16" s="23"/>
      <c r="J16" s="23"/>
      <c r="K16" s="23"/>
      <c r="L16" s="23"/>
      <c r="M16" s="23"/>
      <c r="N16" s="23"/>
      <c r="O16" s="23"/>
      <c r="P16" s="23"/>
      <c r="Q16" s="23"/>
      <c r="R16" s="23"/>
      <c r="S16" s="23"/>
      <c r="T16" s="23"/>
      <c r="U16" s="23"/>
      <c r="V16" s="23"/>
      <c r="W16" s="23"/>
      <c r="X16" s="23"/>
      <c r="Y16" s="23"/>
    </row>
    <row r="17" spans="1:25" x14ac:dyDescent="0.45">
      <c r="A17" s="23"/>
      <c r="B17" s="25"/>
      <c r="C17" s="25"/>
      <c r="D17" s="25"/>
      <c r="E17" s="25"/>
      <c r="F17" s="25"/>
      <c r="G17" s="25"/>
      <c r="H17" s="23"/>
      <c r="I17" s="23"/>
      <c r="J17" s="23"/>
      <c r="K17" s="23"/>
      <c r="L17" s="23"/>
      <c r="M17" s="23"/>
      <c r="N17" s="23"/>
      <c r="O17" s="23"/>
      <c r="P17" s="23"/>
      <c r="Q17" s="23"/>
      <c r="R17" s="23"/>
      <c r="S17" s="23"/>
      <c r="T17" s="23"/>
      <c r="U17" s="23"/>
      <c r="V17" s="23"/>
      <c r="W17" s="23"/>
      <c r="X17" s="23"/>
      <c r="Y17" s="23"/>
    </row>
    <row r="18" spans="1:25" x14ac:dyDescent="0.45">
      <c r="A18" s="23"/>
      <c r="B18" s="25"/>
      <c r="C18" s="25"/>
      <c r="D18" s="25"/>
      <c r="E18" s="25"/>
      <c r="F18" s="25"/>
      <c r="G18" s="25"/>
      <c r="H18" s="23"/>
      <c r="I18" s="23"/>
      <c r="J18" s="23"/>
      <c r="K18" s="23"/>
      <c r="L18" s="23"/>
      <c r="M18" s="23"/>
      <c r="N18" s="23"/>
      <c r="O18" s="23"/>
      <c r="P18" s="23"/>
      <c r="Q18" s="23"/>
      <c r="R18" s="23"/>
      <c r="S18" s="23"/>
      <c r="T18" s="23"/>
      <c r="U18" s="23"/>
      <c r="V18" s="23"/>
      <c r="W18" s="23"/>
      <c r="X18" s="23"/>
      <c r="Y18" s="23"/>
    </row>
    <row r="19" spans="1:25" x14ac:dyDescent="0.45">
      <c r="A19" s="23"/>
      <c r="B19" s="25"/>
      <c r="C19" s="25"/>
      <c r="D19" s="25"/>
      <c r="E19" s="25"/>
      <c r="F19" s="25"/>
      <c r="G19" s="25"/>
      <c r="H19" s="23"/>
      <c r="I19" s="23"/>
      <c r="J19" s="23"/>
      <c r="K19" s="23"/>
      <c r="L19" s="23"/>
      <c r="M19" s="23"/>
      <c r="N19" s="23"/>
      <c r="O19" s="23"/>
      <c r="P19" s="23"/>
      <c r="Q19" s="23"/>
      <c r="R19" s="23"/>
      <c r="S19" s="23"/>
      <c r="T19" s="23"/>
      <c r="U19" s="23"/>
      <c r="V19" s="23"/>
      <c r="W19" s="23"/>
      <c r="X19" s="23"/>
      <c r="Y19" s="23"/>
    </row>
    <row r="20" spans="1:25" x14ac:dyDescent="0.45">
      <c r="A20" s="23"/>
      <c r="B20" s="25"/>
      <c r="C20" s="25"/>
      <c r="D20" s="25"/>
      <c r="E20" s="25"/>
      <c r="F20" s="25"/>
      <c r="G20" s="25"/>
      <c r="H20" s="23"/>
      <c r="I20" s="23"/>
      <c r="J20" s="23"/>
      <c r="K20" s="23"/>
      <c r="L20" s="23"/>
      <c r="M20" s="23"/>
      <c r="N20" s="23"/>
      <c r="O20" s="23"/>
      <c r="P20" s="23"/>
      <c r="Q20" s="23"/>
      <c r="R20" s="23"/>
      <c r="S20" s="23"/>
      <c r="T20" s="23"/>
      <c r="U20" s="23"/>
      <c r="V20" s="23"/>
      <c r="W20" s="23"/>
      <c r="X20" s="23"/>
      <c r="Y20" s="23"/>
    </row>
    <row r="21" spans="1:25" x14ac:dyDescent="0.45">
      <c r="A21" s="23"/>
      <c r="B21" s="25"/>
      <c r="C21" s="25"/>
      <c r="D21" s="25"/>
      <c r="E21" s="25"/>
      <c r="F21" s="25"/>
      <c r="G21" s="25"/>
      <c r="H21" s="23"/>
      <c r="I21" s="23"/>
      <c r="J21" s="23"/>
      <c r="K21" s="23"/>
      <c r="L21" s="23"/>
      <c r="M21" s="23"/>
      <c r="N21" s="23"/>
      <c r="O21" s="23"/>
      <c r="P21" s="23"/>
      <c r="Q21" s="23"/>
      <c r="R21" s="23"/>
      <c r="S21" s="23"/>
      <c r="T21" s="23"/>
      <c r="U21" s="23"/>
      <c r="V21" s="23"/>
      <c r="W21" s="23"/>
      <c r="X21" s="23"/>
      <c r="Y21" s="23"/>
    </row>
    <row r="22" spans="1:25" x14ac:dyDescent="0.45">
      <c r="A22" s="23"/>
      <c r="B22" s="25"/>
      <c r="C22" s="25"/>
      <c r="D22" s="25"/>
      <c r="E22" s="25"/>
      <c r="F22" s="25"/>
      <c r="G22" s="25"/>
      <c r="H22" s="23"/>
      <c r="I22" s="23"/>
      <c r="J22" s="23"/>
      <c r="K22" s="23"/>
      <c r="L22" s="23"/>
      <c r="M22" s="23"/>
      <c r="N22" s="23"/>
      <c r="O22" s="23"/>
      <c r="P22" s="23"/>
      <c r="Q22" s="23"/>
      <c r="R22" s="23"/>
      <c r="S22" s="23"/>
      <c r="T22" s="23"/>
      <c r="U22" s="23"/>
      <c r="V22" s="23"/>
      <c r="W22" s="23"/>
      <c r="X22" s="23"/>
      <c r="Y22" s="23"/>
    </row>
    <row r="23" spans="1:25" x14ac:dyDescent="0.45">
      <c r="A23" s="23"/>
      <c r="B23" s="25"/>
      <c r="C23" s="25"/>
      <c r="D23" s="25"/>
      <c r="E23" s="25"/>
      <c r="F23" s="25"/>
      <c r="G23" s="25"/>
      <c r="H23" s="23"/>
      <c r="I23" s="23"/>
      <c r="J23" s="23"/>
      <c r="K23" s="23"/>
      <c r="L23" s="23"/>
      <c r="M23" s="23"/>
      <c r="N23" s="23"/>
      <c r="O23" s="23"/>
      <c r="P23" s="23"/>
      <c r="Q23" s="23"/>
      <c r="R23" s="23"/>
      <c r="S23" s="23"/>
      <c r="T23" s="23"/>
      <c r="U23" s="23"/>
      <c r="V23" s="23"/>
      <c r="W23" s="23"/>
      <c r="X23" s="23"/>
      <c r="Y23" s="23"/>
    </row>
    <row r="24" spans="1:25" x14ac:dyDescent="0.45">
      <c r="A24" s="23"/>
      <c r="B24" s="25"/>
      <c r="C24" s="25"/>
      <c r="D24" s="25"/>
      <c r="E24" s="25"/>
      <c r="F24" s="25"/>
      <c r="G24" s="25"/>
      <c r="H24" s="23"/>
      <c r="I24" s="23"/>
      <c r="J24" s="23"/>
      <c r="K24" s="23"/>
      <c r="L24" s="23"/>
      <c r="M24" s="23"/>
      <c r="N24" s="23"/>
      <c r="O24" s="23"/>
      <c r="P24" s="23"/>
      <c r="Q24" s="23"/>
      <c r="R24" s="23"/>
      <c r="S24" s="23"/>
      <c r="T24" s="23"/>
      <c r="U24" s="23"/>
      <c r="V24" s="23"/>
      <c r="W24" s="23"/>
      <c r="X24" s="23"/>
      <c r="Y24" s="23"/>
    </row>
    <row r="25" spans="1:25" x14ac:dyDescent="0.45">
      <c r="A25" s="23"/>
      <c r="B25" s="25"/>
      <c r="C25" s="25"/>
      <c r="D25" s="25"/>
      <c r="E25" s="25"/>
      <c r="F25" s="25"/>
      <c r="G25" s="25"/>
      <c r="H25" s="23"/>
      <c r="I25" s="23"/>
      <c r="J25" s="23"/>
      <c r="K25" s="23"/>
      <c r="L25" s="23"/>
      <c r="M25" s="23"/>
      <c r="N25" s="23"/>
      <c r="O25" s="23"/>
      <c r="P25" s="23"/>
      <c r="Q25" s="23"/>
      <c r="R25" s="23"/>
      <c r="S25" s="23"/>
      <c r="T25" s="23"/>
      <c r="U25" s="23"/>
      <c r="V25" s="23"/>
      <c r="W25" s="23"/>
      <c r="X25" s="23"/>
      <c r="Y25" s="23"/>
    </row>
    <row r="26" spans="1:25" x14ac:dyDescent="0.45">
      <c r="A26" s="23"/>
      <c r="B26" s="25"/>
      <c r="C26" s="25"/>
      <c r="D26" s="25"/>
      <c r="E26" s="25"/>
      <c r="F26" s="25"/>
      <c r="G26" s="25"/>
      <c r="H26" s="23"/>
      <c r="I26" s="23"/>
      <c r="J26" s="23"/>
      <c r="K26" s="23"/>
      <c r="L26" s="23"/>
      <c r="M26" s="23"/>
      <c r="N26" s="23"/>
      <c r="O26" s="23"/>
      <c r="P26" s="23"/>
      <c r="Q26" s="23"/>
      <c r="R26" s="23"/>
      <c r="S26" s="23"/>
      <c r="T26" s="23"/>
      <c r="U26" s="23"/>
      <c r="V26" s="23"/>
      <c r="W26" s="23"/>
      <c r="X26" s="23"/>
      <c r="Y26" s="23"/>
    </row>
    <row r="27" spans="1:25" ht="27.5" customHeight="1" x14ac:dyDescent="0.45">
      <c r="A27" s="23"/>
      <c r="B27" s="25"/>
      <c r="C27" s="25"/>
      <c r="D27" s="25"/>
      <c r="E27" s="25"/>
      <c r="F27" s="25"/>
      <c r="G27" s="25"/>
      <c r="H27" s="23"/>
      <c r="I27" s="23"/>
      <c r="J27" s="23"/>
      <c r="K27" s="23"/>
      <c r="L27" s="23"/>
      <c r="M27" s="23"/>
      <c r="N27" s="23"/>
      <c r="O27" s="23"/>
      <c r="P27" s="23"/>
      <c r="Q27" s="23"/>
      <c r="R27" s="23"/>
      <c r="S27" s="23"/>
      <c r="T27" s="23"/>
      <c r="U27" s="23"/>
      <c r="V27" s="23"/>
      <c r="W27" s="23"/>
      <c r="X27" s="23"/>
      <c r="Y27" s="23"/>
    </row>
    <row r="28" spans="1:25" ht="8.5" customHeight="1" x14ac:dyDescent="0.45">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sheetData>
  <mergeCells count="1">
    <mergeCell ref="G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6D4E-CDC8-4622-9ED2-B9A93B6C1015}">
  <sheetPr codeName="Sheet4" filterMode="1"/>
  <dimension ref="A1:S1001"/>
  <sheetViews>
    <sheetView topLeftCell="H1" zoomScale="99" zoomScaleNormal="99" workbookViewId="0">
      <pane ySplit="1" topLeftCell="A4" activePane="bottomLeft" state="frozen"/>
      <selection pane="bottomLeft" activeCell="J285" sqref="J285"/>
    </sheetView>
  </sheetViews>
  <sheetFormatPr defaultRowHeight="14.5" x14ac:dyDescent="0.35"/>
  <cols>
    <col min="1" max="1" width="9" bestFit="1" customWidth="1"/>
    <col min="2" max="2" width="19.26953125" bestFit="1" customWidth="1"/>
    <col min="3" max="3" width="3.81640625" bestFit="1" customWidth="1"/>
    <col min="4" max="4" width="14" style="12" bestFit="1" customWidth="1"/>
    <col min="5" max="5" width="6.90625" bestFit="1" customWidth="1"/>
    <col min="6" max="6" width="14" style="4" bestFit="1" customWidth="1"/>
    <col min="7" max="7" width="13.54296875" style="4" bestFit="1" customWidth="1"/>
    <col min="8" max="8" width="13.54296875" style="7" customWidth="1"/>
    <col min="9" max="9" width="10.81640625" bestFit="1" customWidth="1"/>
    <col min="10" max="10" width="20.453125" bestFit="1" customWidth="1"/>
    <col min="11" max="11" width="15" bestFit="1" customWidth="1"/>
    <col min="12" max="12" width="19.36328125" style="14" customWidth="1"/>
    <col min="13" max="13" width="32.54296875" style="14" bestFit="1" customWidth="1"/>
    <col min="14" max="14" width="23.90625" style="14" bestFit="1" customWidth="1"/>
    <col min="15" max="16" width="14" bestFit="1" customWidth="1"/>
    <col min="17" max="17" width="10.90625" style="8" bestFit="1" customWidth="1"/>
    <col min="18" max="18" width="15.08984375" bestFit="1" customWidth="1"/>
    <col min="19" max="19" width="15.26953125" bestFit="1" customWidth="1"/>
  </cols>
  <sheetData>
    <row r="1" spans="1:19" x14ac:dyDescent="0.35">
      <c r="A1" s="1" t="s">
        <v>0</v>
      </c>
      <c r="B1" s="1" t="s">
        <v>1</v>
      </c>
      <c r="C1" s="1" t="s">
        <v>2</v>
      </c>
      <c r="D1" s="11" t="s">
        <v>1760</v>
      </c>
      <c r="E1" s="1" t="s">
        <v>3</v>
      </c>
      <c r="F1" s="3" t="s">
        <v>4</v>
      </c>
      <c r="G1" s="3" t="s">
        <v>5</v>
      </c>
      <c r="H1" s="6" t="s">
        <v>1743</v>
      </c>
      <c r="I1" s="1" t="s">
        <v>6</v>
      </c>
      <c r="J1" s="1" t="s">
        <v>7</v>
      </c>
      <c r="K1" s="1" t="s">
        <v>8</v>
      </c>
      <c r="L1" s="13" t="s">
        <v>1761</v>
      </c>
      <c r="M1" s="13" t="s">
        <v>1763</v>
      </c>
      <c r="N1" s="13" t="s">
        <v>1764</v>
      </c>
      <c r="O1" s="1" t="s">
        <v>9</v>
      </c>
      <c r="P1" s="1" t="s">
        <v>1769</v>
      </c>
    </row>
    <row r="2" spans="1:19" hidden="1" x14ac:dyDescent="0.35">
      <c r="A2" t="s">
        <v>10</v>
      </c>
      <c r="B2" t="s">
        <v>11</v>
      </c>
      <c r="C2">
        <v>57</v>
      </c>
      <c r="D2" s="8" t="str" cm="1">
        <f t="array" ref="D2">_xlfn.IFS(C2&lt;=2, "Infant", C2&lt;=11, "Child", C2&lt;=17, "Adolescent", C2&lt;=44, "Young Adult", C2&lt;=64, "Middle Aged", C2&lt;=84,"Young Old", C2&gt;=85,"Oldest Old")</f>
        <v>Middle Aged</v>
      </c>
      <c r="E2" t="s">
        <v>12</v>
      </c>
      <c r="F2" s="4">
        <v>45488</v>
      </c>
      <c r="G2" s="4">
        <v>45496</v>
      </c>
      <c r="H2" s="7">
        <f>DATEDIF(F2,G2,"D")</f>
        <v>8</v>
      </c>
      <c r="I2" t="s">
        <v>13</v>
      </c>
      <c r="J2" t="s">
        <v>14</v>
      </c>
      <c r="K2" s="2">
        <v>15359.41</v>
      </c>
      <c r="L2" s="9">
        <v>0.6</v>
      </c>
      <c r="M2" s="15">
        <f>L2*K2</f>
        <v>9215.6459999999988</v>
      </c>
      <c r="N2" s="15">
        <f>K2-M2</f>
        <v>6143.764000000001</v>
      </c>
      <c r="O2" t="s">
        <v>15</v>
      </c>
    </row>
    <row r="3" spans="1:19" hidden="1" x14ac:dyDescent="0.35">
      <c r="A3" t="s">
        <v>16</v>
      </c>
      <c r="B3" t="s">
        <v>17</v>
      </c>
      <c r="C3">
        <v>62</v>
      </c>
      <c r="D3" s="8" t="str" cm="1">
        <f t="array" ref="D3">_xlfn.IFS(C3&lt;=2, "Infant", C3&lt;=11, "Child", C3&lt;=17, "Adolescent", C3&lt;=44, "Young Adult", C3&lt;=64, "Middle Aged", C3&lt;=84,"Young Old", C3&gt;=85,"Oldest Old")</f>
        <v>Middle Aged</v>
      </c>
      <c r="E3" t="s">
        <v>18</v>
      </c>
      <c r="F3" s="4">
        <v>45729</v>
      </c>
      <c r="G3" s="4">
        <v>45739</v>
      </c>
      <c r="H3" s="7">
        <f t="shared" ref="H3:H66" si="0">DATEDIF(F3,G3,"D")</f>
        <v>10</v>
      </c>
      <c r="I3" t="s">
        <v>13</v>
      </c>
      <c r="J3" t="s">
        <v>19</v>
      </c>
      <c r="K3" s="2">
        <v>21896.6</v>
      </c>
      <c r="L3" s="9">
        <v>0.8</v>
      </c>
      <c r="M3" s="15">
        <f t="shared" ref="M3:M66" si="1">L3*K3</f>
        <v>17517.28</v>
      </c>
      <c r="N3" s="15">
        <f t="shared" ref="N3:N66" si="2">K3-M3</f>
        <v>4379.32</v>
      </c>
      <c r="O3" t="s">
        <v>20</v>
      </c>
      <c r="R3" s="8" t="s">
        <v>1745</v>
      </c>
      <c r="S3" t="s">
        <v>1744</v>
      </c>
    </row>
    <row r="4" spans="1:19" hidden="1" x14ac:dyDescent="0.35">
      <c r="A4" t="s">
        <v>21</v>
      </c>
      <c r="B4" t="s">
        <v>22</v>
      </c>
      <c r="C4">
        <v>82</v>
      </c>
      <c r="D4" s="8" t="str" cm="1">
        <f t="array" ref="D4">_xlfn.IFS(C4&lt;=2, "Infant", C4&lt;=11, "Child", C4&lt;=17, "Adolescent", C4&lt;=44, "Young Adult", C4&lt;=64, "Middle Aged", C4&lt;=84,"Young Old", C4&gt;=85,"Oldest Old")</f>
        <v>Young Old</v>
      </c>
      <c r="E4" t="s">
        <v>18</v>
      </c>
      <c r="F4" s="4">
        <v>45387</v>
      </c>
      <c r="G4" s="4">
        <v>45390</v>
      </c>
      <c r="H4" s="7">
        <f t="shared" si="0"/>
        <v>3</v>
      </c>
      <c r="I4" t="s">
        <v>23</v>
      </c>
      <c r="J4" t="s">
        <v>24</v>
      </c>
      <c r="K4" s="2">
        <v>6404.86</v>
      </c>
      <c r="L4" s="9">
        <v>0</v>
      </c>
      <c r="M4" s="15">
        <f t="shared" si="1"/>
        <v>0</v>
      </c>
      <c r="N4" s="15">
        <f t="shared" si="2"/>
        <v>6404.86</v>
      </c>
      <c r="O4" t="s">
        <v>25</v>
      </c>
      <c r="R4" s="8" t="s">
        <v>1754</v>
      </c>
      <c r="S4" t="s">
        <v>1755</v>
      </c>
    </row>
    <row r="5" spans="1:19" hidden="1" x14ac:dyDescent="0.35">
      <c r="A5" t="s">
        <v>26</v>
      </c>
      <c r="B5" t="s">
        <v>27</v>
      </c>
      <c r="C5">
        <v>29</v>
      </c>
      <c r="D5" s="8" t="str" cm="1">
        <f t="array" ref="D5">_xlfn.IFS(C5&lt;=2, "Infant", C5&lt;=11, "Child", C5&lt;=17, "Adolescent", C5&lt;=44, "Young Adult", C5&lt;=64, "Middle Aged", C5&lt;=84,"Young Old", C5&gt;=85,"Oldest Old")</f>
        <v>Young Adult</v>
      </c>
      <c r="E5" t="s">
        <v>18</v>
      </c>
      <c r="F5" s="4">
        <v>45588</v>
      </c>
      <c r="G5" s="4">
        <v>45589</v>
      </c>
      <c r="H5" s="7">
        <f t="shared" si="0"/>
        <v>1</v>
      </c>
      <c r="I5" t="s">
        <v>23</v>
      </c>
      <c r="J5" t="s">
        <v>28</v>
      </c>
      <c r="K5" s="2">
        <v>1001.68</v>
      </c>
      <c r="L5" s="9">
        <v>0.9</v>
      </c>
      <c r="M5" s="15">
        <f t="shared" si="1"/>
        <v>901.51199999999994</v>
      </c>
      <c r="N5" s="15">
        <f t="shared" si="2"/>
        <v>100.16800000000001</v>
      </c>
      <c r="O5" t="s">
        <v>20</v>
      </c>
      <c r="R5" s="10" t="s">
        <v>1758</v>
      </c>
      <c r="S5" t="s">
        <v>1756</v>
      </c>
    </row>
    <row r="6" spans="1:19" x14ac:dyDescent="0.35">
      <c r="A6" t="s">
        <v>29</v>
      </c>
      <c r="B6" t="s">
        <v>30</v>
      </c>
      <c r="C6">
        <v>65</v>
      </c>
      <c r="D6" s="8" t="str" cm="1">
        <f t="array" ref="D6">_xlfn.IFS(C6&lt;=2, "Infant", C6&lt;=11, "Child", C6&lt;=17, "Adolescent", C6&lt;=44, "Young Adult", C6&lt;=64, "Middle Aged", C6&lt;=84,"Young Old", C6&gt;=85,"Oldest Old")</f>
        <v>Young Old</v>
      </c>
      <c r="E6" t="s">
        <v>12</v>
      </c>
      <c r="F6" s="4">
        <v>45621</v>
      </c>
      <c r="G6" s="4">
        <v>45627</v>
      </c>
      <c r="H6" s="7">
        <f t="shared" si="0"/>
        <v>6</v>
      </c>
      <c r="I6" t="s">
        <v>31</v>
      </c>
      <c r="J6" t="s">
        <v>32</v>
      </c>
      <c r="K6" s="2">
        <v>4022.42</v>
      </c>
      <c r="L6" s="9">
        <v>0.8</v>
      </c>
      <c r="M6" s="15">
        <f t="shared" si="1"/>
        <v>3217.9360000000001</v>
      </c>
      <c r="N6" s="15">
        <f t="shared" si="2"/>
        <v>804.48399999999992</v>
      </c>
      <c r="O6" t="s">
        <v>20</v>
      </c>
      <c r="R6" s="10" t="s">
        <v>1759</v>
      </c>
      <c r="S6" t="s">
        <v>1757</v>
      </c>
    </row>
    <row r="7" spans="1:19" hidden="1" x14ac:dyDescent="0.35">
      <c r="A7" t="s">
        <v>33</v>
      </c>
      <c r="B7" t="s">
        <v>34</v>
      </c>
      <c r="C7">
        <v>53</v>
      </c>
      <c r="D7" s="8" t="str" cm="1">
        <f t="array" ref="D7">_xlfn.IFS(C7&lt;=2, "Infant", C7&lt;=11, "Child", C7&lt;=17, "Adolescent", C7&lt;=44, "Young Adult", C7&lt;=64, "Middle Aged", C7&lt;=84,"Young Old", C7&gt;=85,"Oldest Old")</f>
        <v>Middle Aged</v>
      </c>
      <c r="E7" t="s">
        <v>12</v>
      </c>
      <c r="F7" s="4">
        <v>45494</v>
      </c>
      <c r="G7" s="4">
        <v>45501</v>
      </c>
      <c r="H7" s="7">
        <f t="shared" si="0"/>
        <v>7</v>
      </c>
      <c r="I7" t="s">
        <v>31</v>
      </c>
      <c r="J7" t="s">
        <v>35</v>
      </c>
      <c r="K7" s="2">
        <v>6621.96</v>
      </c>
      <c r="L7" s="9">
        <v>0.5</v>
      </c>
      <c r="M7" s="15">
        <f t="shared" si="1"/>
        <v>3310.98</v>
      </c>
      <c r="N7" s="15">
        <f t="shared" si="2"/>
        <v>3310.98</v>
      </c>
      <c r="O7" t="s">
        <v>25</v>
      </c>
      <c r="R7" s="8" t="s">
        <v>1746</v>
      </c>
      <c r="S7" t="s">
        <v>1747</v>
      </c>
    </row>
    <row r="8" spans="1:19" hidden="1" x14ac:dyDescent="0.35">
      <c r="A8" t="s">
        <v>36</v>
      </c>
      <c r="B8" t="s">
        <v>37</v>
      </c>
      <c r="C8">
        <v>46</v>
      </c>
      <c r="D8" s="8" t="str" cm="1">
        <f t="array" ref="D8">_xlfn.IFS(C8&lt;=2, "Infant", C8&lt;=11, "Child", C8&lt;=17, "Adolescent", C8&lt;=44, "Young Adult", C8&lt;=64, "Middle Aged", C8&lt;=84,"Young Old", C8&gt;=85,"Oldest Old")</f>
        <v>Middle Aged</v>
      </c>
      <c r="E8" t="s">
        <v>18</v>
      </c>
      <c r="F8" s="4">
        <v>45331</v>
      </c>
      <c r="G8" s="4">
        <v>45335</v>
      </c>
      <c r="H8" s="7">
        <f t="shared" si="0"/>
        <v>4</v>
      </c>
      <c r="I8" t="s">
        <v>13</v>
      </c>
      <c r="J8" t="s">
        <v>38</v>
      </c>
      <c r="K8" s="2">
        <v>7676.36</v>
      </c>
      <c r="L8" s="9">
        <v>0.7</v>
      </c>
      <c r="M8" s="15">
        <f t="shared" si="1"/>
        <v>5373.4519999999993</v>
      </c>
      <c r="N8" s="15">
        <f t="shared" si="2"/>
        <v>2302.9080000000004</v>
      </c>
      <c r="O8" t="s">
        <v>25</v>
      </c>
      <c r="R8" s="8" t="s">
        <v>1748</v>
      </c>
      <c r="S8" t="s">
        <v>1749</v>
      </c>
    </row>
    <row r="9" spans="1:19" hidden="1" x14ac:dyDescent="0.35">
      <c r="A9" t="s">
        <v>39</v>
      </c>
      <c r="B9" t="s">
        <v>40</v>
      </c>
      <c r="C9">
        <v>21</v>
      </c>
      <c r="D9" s="8" t="str" cm="1">
        <f t="array" ref="D9">_xlfn.IFS(C9&lt;=2, "Infant", C9&lt;=11, "Child", C9&lt;=17, "Adolescent", C9&lt;=44, "Young Adult", C9&lt;=64, "Middle Aged", C9&lt;=84,"Young Old", C9&gt;=85,"Oldest Old")</f>
        <v>Young Adult</v>
      </c>
      <c r="E9" t="s">
        <v>18</v>
      </c>
      <c r="F9" s="4">
        <v>45346</v>
      </c>
      <c r="G9" s="4">
        <v>45349</v>
      </c>
      <c r="H9" s="7">
        <f t="shared" si="0"/>
        <v>3</v>
      </c>
      <c r="I9" t="s">
        <v>23</v>
      </c>
      <c r="J9" t="s">
        <v>41</v>
      </c>
      <c r="K9" s="2">
        <v>7381.69</v>
      </c>
      <c r="L9" s="9">
        <v>0.8</v>
      </c>
      <c r="M9" s="15">
        <f t="shared" si="1"/>
        <v>5905.3519999999999</v>
      </c>
      <c r="N9" s="15">
        <f t="shared" si="2"/>
        <v>1476.3379999999997</v>
      </c>
      <c r="O9" t="s">
        <v>20</v>
      </c>
      <c r="R9" s="8" t="s">
        <v>1750</v>
      </c>
      <c r="S9" t="s">
        <v>1751</v>
      </c>
    </row>
    <row r="10" spans="1:19" hidden="1" x14ac:dyDescent="0.35">
      <c r="A10" t="s">
        <v>42</v>
      </c>
      <c r="B10" t="s">
        <v>43</v>
      </c>
      <c r="C10">
        <v>62</v>
      </c>
      <c r="D10" s="8" t="str" cm="1">
        <f t="array" ref="D10">_xlfn.IFS(C10&lt;=2, "Infant", C10&lt;=11, "Child", C10&lt;=17, "Adolescent", C10&lt;=44, "Young Adult", C10&lt;=64, "Middle Aged", C10&lt;=84,"Young Old", C10&gt;=85,"Oldest Old")</f>
        <v>Middle Aged</v>
      </c>
      <c r="E10" t="s">
        <v>12</v>
      </c>
      <c r="F10" s="4">
        <v>45607</v>
      </c>
      <c r="G10" s="4">
        <v>45613</v>
      </c>
      <c r="H10" s="7">
        <f t="shared" si="0"/>
        <v>6</v>
      </c>
      <c r="I10" t="s">
        <v>31</v>
      </c>
      <c r="J10" t="s">
        <v>44</v>
      </c>
      <c r="K10" s="2">
        <v>5206.3999999999996</v>
      </c>
      <c r="L10" s="9">
        <v>0.8</v>
      </c>
      <c r="M10" s="15">
        <f t="shared" si="1"/>
        <v>4165.12</v>
      </c>
      <c r="N10" s="15">
        <f t="shared" si="2"/>
        <v>1041.2799999999997</v>
      </c>
      <c r="O10" t="s">
        <v>20</v>
      </c>
      <c r="R10" s="8" t="s">
        <v>1752</v>
      </c>
      <c r="S10" t="s">
        <v>1753</v>
      </c>
    </row>
    <row r="11" spans="1:19" hidden="1" x14ac:dyDescent="0.35">
      <c r="A11" t="s">
        <v>45</v>
      </c>
      <c r="B11" t="s">
        <v>46</v>
      </c>
      <c r="C11">
        <v>59</v>
      </c>
      <c r="D11" s="8" t="str" cm="1">
        <f t="array" ref="D11">_xlfn.IFS(C11&lt;=2, "Infant", C11&lt;=11, "Child", C11&lt;=17, "Adolescent", C11&lt;=44, "Young Adult", C11&lt;=64, "Middle Aged", C11&lt;=84,"Young Old", C11&gt;=85,"Oldest Old")</f>
        <v>Middle Aged</v>
      </c>
      <c r="E11" t="s">
        <v>12</v>
      </c>
      <c r="F11" s="4">
        <v>45874</v>
      </c>
      <c r="G11" s="4">
        <v>45875</v>
      </c>
      <c r="H11" s="7">
        <f t="shared" si="0"/>
        <v>1</v>
      </c>
      <c r="I11" t="s">
        <v>23</v>
      </c>
      <c r="J11" t="s">
        <v>41</v>
      </c>
      <c r="K11" s="2">
        <v>2498.98</v>
      </c>
      <c r="L11" s="9">
        <v>0.5</v>
      </c>
      <c r="M11" s="15">
        <f t="shared" si="1"/>
        <v>1249.49</v>
      </c>
      <c r="N11" s="15">
        <f t="shared" si="2"/>
        <v>1249.49</v>
      </c>
      <c r="O11" t="s">
        <v>20</v>
      </c>
    </row>
    <row r="12" spans="1:19" hidden="1" x14ac:dyDescent="0.35">
      <c r="A12" t="s">
        <v>47</v>
      </c>
      <c r="B12" t="s">
        <v>48</v>
      </c>
      <c r="C12">
        <v>7</v>
      </c>
      <c r="D12" s="8" t="str" cm="1">
        <f t="array" ref="D12">_xlfn.IFS(C12&lt;=2, "Infant", C12&lt;=11, "Child", C12&lt;=17, "Adolescent", C12&lt;=44, "Young Adult", C12&lt;=64, "Middle Aged", C12&lt;=84,"Young Old", C12&gt;=85,"Oldest Old")</f>
        <v>Child</v>
      </c>
      <c r="E12" t="s">
        <v>12</v>
      </c>
      <c r="F12" s="4">
        <v>45967</v>
      </c>
      <c r="G12" s="4">
        <v>45969</v>
      </c>
      <c r="H12" s="7">
        <f t="shared" si="0"/>
        <v>2</v>
      </c>
      <c r="I12" t="s">
        <v>49</v>
      </c>
      <c r="J12" t="s">
        <v>50</v>
      </c>
      <c r="K12" s="2">
        <v>2096.73</v>
      </c>
      <c r="L12" s="9">
        <v>0.7</v>
      </c>
      <c r="M12" s="15">
        <f t="shared" si="1"/>
        <v>1467.711</v>
      </c>
      <c r="N12" s="15">
        <f t="shared" si="2"/>
        <v>629.01900000000001</v>
      </c>
      <c r="O12" t="s">
        <v>15</v>
      </c>
    </row>
    <row r="13" spans="1:19" hidden="1" x14ac:dyDescent="0.35">
      <c r="A13" t="s">
        <v>51</v>
      </c>
      <c r="B13" t="s">
        <v>52</v>
      </c>
      <c r="C13">
        <v>85</v>
      </c>
      <c r="D13" s="8" t="str" cm="1">
        <f t="array" ref="D13">_xlfn.IFS(C13&lt;=2, "Infant", C13&lt;=11, "Child", C13&lt;=17, "Adolescent", C13&lt;=44, "Young Adult", C13&lt;=64, "Middle Aged", C13&lt;=84,"Young Old", C13&gt;=85,"Oldest Old")</f>
        <v>Oldest Old</v>
      </c>
      <c r="E13" t="s">
        <v>18</v>
      </c>
      <c r="F13" s="4">
        <v>45719</v>
      </c>
      <c r="G13" s="4">
        <v>45724</v>
      </c>
      <c r="H13" s="7">
        <f t="shared" si="0"/>
        <v>5</v>
      </c>
      <c r="I13" t="s">
        <v>31</v>
      </c>
      <c r="J13" t="s">
        <v>53</v>
      </c>
      <c r="K13" s="2">
        <v>4619.6099999999997</v>
      </c>
      <c r="L13" s="9">
        <v>0.7</v>
      </c>
      <c r="M13" s="15">
        <f t="shared" si="1"/>
        <v>3233.7269999999994</v>
      </c>
      <c r="N13" s="15">
        <f t="shared" si="2"/>
        <v>1385.8830000000003</v>
      </c>
      <c r="O13" t="s">
        <v>20</v>
      </c>
    </row>
    <row r="14" spans="1:19" hidden="1" x14ac:dyDescent="0.35">
      <c r="A14" t="s">
        <v>54</v>
      </c>
      <c r="B14" t="s">
        <v>55</v>
      </c>
      <c r="C14">
        <v>40</v>
      </c>
      <c r="D14" s="8" t="str" cm="1">
        <f t="array" ref="D14">_xlfn.IFS(C14&lt;=2, "Infant", C14&lt;=11, "Child", C14&lt;=17, "Adolescent", C14&lt;=44, "Young Adult", C14&lt;=64, "Middle Aged", C14&lt;=84,"Young Old", C14&gt;=85,"Oldest Old")</f>
        <v>Young Adult</v>
      </c>
      <c r="E14" t="s">
        <v>12</v>
      </c>
      <c r="F14" s="4">
        <v>45500</v>
      </c>
      <c r="G14" s="4">
        <v>45502</v>
      </c>
      <c r="H14" s="7">
        <f t="shared" si="0"/>
        <v>2</v>
      </c>
      <c r="I14" t="s">
        <v>23</v>
      </c>
      <c r="J14" t="s">
        <v>24</v>
      </c>
      <c r="K14" s="2">
        <v>3367.87</v>
      </c>
      <c r="L14" s="9">
        <v>0.9</v>
      </c>
      <c r="M14" s="15">
        <f t="shared" si="1"/>
        <v>3031.0830000000001</v>
      </c>
      <c r="N14" s="15">
        <f t="shared" si="2"/>
        <v>336.78699999999981</v>
      </c>
      <c r="O14" t="s">
        <v>15</v>
      </c>
    </row>
    <row r="15" spans="1:19" hidden="1" x14ac:dyDescent="0.35">
      <c r="A15" t="s">
        <v>56</v>
      </c>
      <c r="B15" t="s">
        <v>57</v>
      </c>
      <c r="C15">
        <v>24</v>
      </c>
      <c r="D15" s="8" t="str" cm="1">
        <f t="array" ref="D15">_xlfn.IFS(C15&lt;=2, "Infant", C15&lt;=11, "Child", C15&lt;=17, "Adolescent", C15&lt;=44, "Young Adult", C15&lt;=64, "Middle Aged", C15&lt;=84,"Young Old", C15&gt;=85,"Oldest Old")</f>
        <v>Young Adult</v>
      </c>
      <c r="E15" t="s">
        <v>12</v>
      </c>
      <c r="F15" s="4">
        <v>45524</v>
      </c>
      <c r="G15" s="4">
        <v>45526</v>
      </c>
      <c r="H15" s="7">
        <f t="shared" si="0"/>
        <v>2</v>
      </c>
      <c r="I15" t="s">
        <v>31</v>
      </c>
      <c r="J15" t="s">
        <v>35</v>
      </c>
      <c r="K15" s="2">
        <v>2287.25</v>
      </c>
      <c r="L15" s="9">
        <v>0.6</v>
      </c>
      <c r="M15" s="15">
        <f t="shared" si="1"/>
        <v>1372.35</v>
      </c>
      <c r="N15" s="15">
        <f t="shared" si="2"/>
        <v>914.90000000000009</v>
      </c>
      <c r="O15" t="s">
        <v>15</v>
      </c>
    </row>
    <row r="16" spans="1:19" hidden="1" x14ac:dyDescent="0.35">
      <c r="A16" t="s">
        <v>58</v>
      </c>
      <c r="B16" t="s">
        <v>59</v>
      </c>
      <c r="C16">
        <v>67</v>
      </c>
      <c r="D16" s="8" t="str" cm="1">
        <f t="array" ref="D16">_xlfn.IFS(C16&lt;=2, "Infant", C16&lt;=11, "Child", C16&lt;=17, "Adolescent", C16&lt;=44, "Young Adult", C16&lt;=64, "Middle Aged", C16&lt;=84,"Young Old", C16&gt;=85,"Oldest Old")</f>
        <v>Young Old</v>
      </c>
      <c r="E16" t="s">
        <v>18</v>
      </c>
      <c r="F16" s="4">
        <v>46003</v>
      </c>
      <c r="G16" s="4">
        <v>46012</v>
      </c>
      <c r="H16" s="7">
        <f t="shared" si="0"/>
        <v>9</v>
      </c>
      <c r="I16" t="s">
        <v>60</v>
      </c>
      <c r="J16" t="s">
        <v>61</v>
      </c>
      <c r="K16" s="2">
        <v>12489.51</v>
      </c>
      <c r="L16" s="9">
        <v>1</v>
      </c>
      <c r="M16" s="15">
        <f t="shared" si="1"/>
        <v>12489.51</v>
      </c>
      <c r="N16" s="15">
        <f t="shared" si="2"/>
        <v>0</v>
      </c>
      <c r="O16" t="s">
        <v>15</v>
      </c>
    </row>
    <row r="17" spans="1:15" hidden="1" x14ac:dyDescent="0.35">
      <c r="A17" t="s">
        <v>62</v>
      </c>
      <c r="B17" t="s">
        <v>63</v>
      </c>
      <c r="C17">
        <v>70</v>
      </c>
      <c r="D17" s="8" t="str" cm="1">
        <f t="array" ref="D17">_xlfn.IFS(C17&lt;=2, "Infant", C17&lt;=11, "Child", C17&lt;=17, "Adolescent", C17&lt;=44, "Young Adult", C17&lt;=64, "Middle Aged", C17&lt;=84,"Young Old", C17&gt;=85,"Oldest Old")</f>
        <v>Young Old</v>
      </c>
      <c r="E17" t="s">
        <v>18</v>
      </c>
      <c r="F17" s="4">
        <v>45695</v>
      </c>
      <c r="G17" s="4">
        <v>45701</v>
      </c>
      <c r="H17" s="7">
        <f t="shared" si="0"/>
        <v>6</v>
      </c>
      <c r="I17" t="s">
        <v>31</v>
      </c>
      <c r="J17" t="s">
        <v>35</v>
      </c>
      <c r="K17" s="2">
        <v>4262.21</v>
      </c>
      <c r="L17" s="9">
        <v>1</v>
      </c>
      <c r="M17" s="15">
        <f t="shared" si="1"/>
        <v>4262.21</v>
      </c>
      <c r="N17" s="15">
        <f t="shared" si="2"/>
        <v>0</v>
      </c>
      <c r="O17" t="s">
        <v>15</v>
      </c>
    </row>
    <row r="18" spans="1:15" hidden="1" x14ac:dyDescent="0.35">
      <c r="A18" t="s">
        <v>64</v>
      </c>
      <c r="B18" t="s">
        <v>65</v>
      </c>
      <c r="C18">
        <v>38</v>
      </c>
      <c r="D18" s="8" t="str" cm="1">
        <f t="array" ref="D18">_xlfn.IFS(C18&lt;=2, "Infant", C18&lt;=11, "Child", C18&lt;=17, "Adolescent", C18&lt;=44, "Young Adult", C18&lt;=64, "Middle Aged", C18&lt;=84,"Young Old", C18&gt;=85,"Oldest Old")</f>
        <v>Young Adult</v>
      </c>
      <c r="E18" t="s">
        <v>12</v>
      </c>
      <c r="F18" s="4">
        <v>45528</v>
      </c>
      <c r="G18" s="4">
        <v>45532</v>
      </c>
      <c r="H18" s="7">
        <f t="shared" si="0"/>
        <v>4</v>
      </c>
      <c r="I18" t="s">
        <v>31</v>
      </c>
      <c r="J18" t="s">
        <v>35</v>
      </c>
      <c r="K18" s="2">
        <v>5523.81</v>
      </c>
      <c r="L18" s="9">
        <v>0.7</v>
      </c>
      <c r="M18" s="15">
        <f t="shared" si="1"/>
        <v>3866.6669999999999</v>
      </c>
      <c r="N18" s="15">
        <f t="shared" si="2"/>
        <v>1657.1430000000005</v>
      </c>
      <c r="O18" t="s">
        <v>20</v>
      </c>
    </row>
    <row r="19" spans="1:15" x14ac:dyDescent="0.35">
      <c r="A19" t="s">
        <v>66</v>
      </c>
      <c r="B19" t="s">
        <v>67</v>
      </c>
      <c r="C19">
        <v>81</v>
      </c>
      <c r="D19" s="8" t="str" cm="1">
        <f t="array" ref="D19">_xlfn.IFS(C19&lt;=2, "Infant", C19&lt;=11, "Child", C19&lt;=17, "Adolescent", C19&lt;=44, "Young Adult", C19&lt;=64, "Middle Aged", C19&lt;=84,"Young Old", C19&gt;=85,"Oldest Old")</f>
        <v>Young Old</v>
      </c>
      <c r="E19" t="s">
        <v>18</v>
      </c>
      <c r="F19" s="4">
        <v>45439</v>
      </c>
      <c r="G19" s="4">
        <v>45441</v>
      </c>
      <c r="H19" s="7">
        <f t="shared" si="0"/>
        <v>2</v>
      </c>
      <c r="I19" t="s">
        <v>31</v>
      </c>
      <c r="J19" t="s">
        <v>32</v>
      </c>
      <c r="K19" s="2">
        <v>1097.76</v>
      </c>
      <c r="L19" s="9">
        <v>0.8</v>
      </c>
      <c r="M19" s="15">
        <f t="shared" si="1"/>
        <v>878.20800000000008</v>
      </c>
      <c r="N19" s="15">
        <f t="shared" si="2"/>
        <v>219.55199999999991</v>
      </c>
      <c r="O19" t="s">
        <v>15</v>
      </c>
    </row>
    <row r="20" spans="1:15" hidden="1" x14ac:dyDescent="0.35">
      <c r="A20" t="s">
        <v>68</v>
      </c>
      <c r="B20" t="s">
        <v>69</v>
      </c>
      <c r="C20">
        <v>35</v>
      </c>
      <c r="D20" s="8" t="str" cm="1">
        <f t="array" ref="D20">_xlfn.IFS(C20&lt;=2, "Infant", C20&lt;=11, "Child", C20&lt;=17, "Adolescent", C20&lt;=44, "Young Adult", C20&lt;=64, "Middle Aged", C20&lt;=84,"Young Old", C20&gt;=85,"Oldest Old")</f>
        <v>Young Adult</v>
      </c>
      <c r="E20" t="s">
        <v>18</v>
      </c>
      <c r="F20" s="4">
        <v>45649</v>
      </c>
      <c r="G20" s="4">
        <v>45655</v>
      </c>
      <c r="H20" s="7">
        <f t="shared" si="0"/>
        <v>6</v>
      </c>
      <c r="I20" t="s">
        <v>70</v>
      </c>
      <c r="J20" t="s">
        <v>71</v>
      </c>
      <c r="K20" s="2">
        <v>14272.73</v>
      </c>
      <c r="L20" s="9">
        <v>0.8</v>
      </c>
      <c r="M20" s="15">
        <f t="shared" si="1"/>
        <v>11418.184000000001</v>
      </c>
      <c r="N20" s="15">
        <f t="shared" si="2"/>
        <v>2854.5459999999985</v>
      </c>
      <c r="O20" t="s">
        <v>20</v>
      </c>
    </row>
    <row r="21" spans="1:15" hidden="1" x14ac:dyDescent="0.35">
      <c r="A21" t="s">
        <v>72</v>
      </c>
      <c r="B21" t="s">
        <v>73</v>
      </c>
      <c r="C21">
        <v>42</v>
      </c>
      <c r="D21" s="8" t="str" cm="1">
        <f t="array" ref="D21">_xlfn.IFS(C21&lt;=2, "Infant", C21&lt;=11, "Child", C21&lt;=17, "Adolescent", C21&lt;=44, "Young Adult", C21&lt;=64, "Middle Aged", C21&lt;=84,"Young Old", C21&gt;=85,"Oldest Old")</f>
        <v>Young Adult</v>
      </c>
      <c r="E21" t="s">
        <v>18</v>
      </c>
      <c r="F21" s="4">
        <v>45804</v>
      </c>
      <c r="G21" s="4">
        <v>45817</v>
      </c>
      <c r="H21" s="7">
        <f t="shared" si="0"/>
        <v>13</v>
      </c>
      <c r="I21" t="s">
        <v>60</v>
      </c>
      <c r="J21" t="s">
        <v>74</v>
      </c>
      <c r="K21" s="2">
        <v>18429.310000000001</v>
      </c>
      <c r="L21" s="9">
        <v>1</v>
      </c>
      <c r="M21" s="15">
        <f t="shared" si="1"/>
        <v>18429.310000000001</v>
      </c>
      <c r="N21" s="15">
        <f t="shared" si="2"/>
        <v>0</v>
      </c>
      <c r="O21" t="s">
        <v>15</v>
      </c>
    </row>
    <row r="22" spans="1:15" hidden="1" x14ac:dyDescent="0.35">
      <c r="A22" t="s">
        <v>75</v>
      </c>
      <c r="B22" t="s">
        <v>76</v>
      </c>
      <c r="C22">
        <v>36</v>
      </c>
      <c r="D22" s="8" t="str" cm="1">
        <f t="array" ref="D22">_xlfn.IFS(C22&lt;=2, "Infant", C22&lt;=11, "Child", C22&lt;=17, "Adolescent", C22&lt;=44, "Young Adult", C22&lt;=64, "Middle Aged", C22&lt;=84,"Young Old", C22&gt;=85,"Oldest Old")</f>
        <v>Young Adult</v>
      </c>
      <c r="E22" t="s">
        <v>12</v>
      </c>
      <c r="F22" s="4">
        <v>45952</v>
      </c>
      <c r="G22" s="4">
        <v>45958</v>
      </c>
      <c r="H22" s="7">
        <f t="shared" si="0"/>
        <v>6</v>
      </c>
      <c r="I22" t="s">
        <v>60</v>
      </c>
      <c r="J22" t="s">
        <v>77</v>
      </c>
      <c r="K22" s="2">
        <v>11481.03</v>
      </c>
      <c r="L22" s="9">
        <v>0.8</v>
      </c>
      <c r="M22" s="15">
        <f t="shared" si="1"/>
        <v>9184.8240000000005</v>
      </c>
      <c r="N22" s="15">
        <f t="shared" si="2"/>
        <v>2296.2060000000001</v>
      </c>
      <c r="O22" t="s">
        <v>20</v>
      </c>
    </row>
    <row r="23" spans="1:15" hidden="1" x14ac:dyDescent="0.35">
      <c r="A23" t="s">
        <v>78</v>
      </c>
      <c r="B23" t="s">
        <v>79</v>
      </c>
      <c r="C23">
        <v>67</v>
      </c>
      <c r="D23" s="8" t="str" cm="1">
        <f t="array" ref="D23">_xlfn.IFS(C23&lt;=2, "Infant", C23&lt;=11, "Child", C23&lt;=17, "Adolescent", C23&lt;=44, "Young Adult", C23&lt;=64, "Middle Aged", C23&lt;=84,"Young Old", C23&gt;=85,"Oldest Old")</f>
        <v>Young Old</v>
      </c>
      <c r="E23" t="s">
        <v>18</v>
      </c>
      <c r="F23" s="4">
        <v>45699</v>
      </c>
      <c r="G23" s="4">
        <v>45702</v>
      </c>
      <c r="H23" s="7">
        <f t="shared" si="0"/>
        <v>3</v>
      </c>
      <c r="I23" t="s">
        <v>13</v>
      </c>
      <c r="J23" t="s">
        <v>14</v>
      </c>
      <c r="K23" s="2">
        <v>6324.27</v>
      </c>
      <c r="L23" s="9">
        <v>0.8</v>
      </c>
      <c r="M23" s="15">
        <f t="shared" si="1"/>
        <v>5059.4160000000011</v>
      </c>
      <c r="N23" s="15">
        <f t="shared" si="2"/>
        <v>1264.8539999999994</v>
      </c>
      <c r="O23" t="s">
        <v>15</v>
      </c>
    </row>
    <row r="24" spans="1:15" hidden="1" x14ac:dyDescent="0.35">
      <c r="A24" t="s">
        <v>80</v>
      </c>
      <c r="B24" t="s">
        <v>81</v>
      </c>
      <c r="C24">
        <v>23</v>
      </c>
      <c r="D24" s="8" t="str" cm="1">
        <f t="array" ref="D24">_xlfn.IFS(C24&lt;=2, "Infant", C24&lt;=11, "Child", C24&lt;=17, "Adolescent", C24&lt;=44, "Young Adult", C24&lt;=64, "Middle Aged", C24&lt;=84,"Young Old", C24&gt;=85,"Oldest Old")</f>
        <v>Young Adult</v>
      </c>
      <c r="E24" t="s">
        <v>12</v>
      </c>
      <c r="F24" s="4">
        <v>45613</v>
      </c>
      <c r="G24" s="4">
        <v>45614</v>
      </c>
      <c r="H24" s="7">
        <f t="shared" si="0"/>
        <v>1</v>
      </c>
      <c r="I24" t="s">
        <v>23</v>
      </c>
      <c r="J24" t="s">
        <v>82</v>
      </c>
      <c r="K24" s="2">
        <v>1888.07</v>
      </c>
      <c r="L24" s="9">
        <v>0.8</v>
      </c>
      <c r="M24" s="15">
        <f t="shared" si="1"/>
        <v>1510.4560000000001</v>
      </c>
      <c r="N24" s="15">
        <f t="shared" si="2"/>
        <v>377.61399999999981</v>
      </c>
      <c r="O24" t="s">
        <v>25</v>
      </c>
    </row>
    <row r="25" spans="1:15" hidden="1" x14ac:dyDescent="0.35">
      <c r="A25" t="s">
        <v>83</v>
      </c>
      <c r="B25" t="s">
        <v>84</v>
      </c>
      <c r="C25">
        <v>66</v>
      </c>
      <c r="D25" s="8" t="str" cm="1">
        <f t="array" ref="D25">_xlfn.IFS(C25&lt;=2, "Infant", C25&lt;=11, "Child", C25&lt;=17, "Adolescent", C25&lt;=44, "Young Adult", C25&lt;=64, "Middle Aged", C25&lt;=84,"Young Old", C25&gt;=85,"Oldest Old")</f>
        <v>Young Old</v>
      </c>
      <c r="E25" t="s">
        <v>18</v>
      </c>
      <c r="F25" s="4">
        <v>45370</v>
      </c>
      <c r="G25" s="4">
        <v>45378</v>
      </c>
      <c r="H25" s="7">
        <f t="shared" si="0"/>
        <v>8</v>
      </c>
      <c r="I25" t="s">
        <v>13</v>
      </c>
      <c r="J25" t="s">
        <v>14</v>
      </c>
      <c r="K25" s="2">
        <v>21654.18</v>
      </c>
      <c r="L25" s="9">
        <v>0.7</v>
      </c>
      <c r="M25" s="15">
        <f t="shared" si="1"/>
        <v>15157.925999999999</v>
      </c>
      <c r="N25" s="15">
        <f t="shared" si="2"/>
        <v>6496.2540000000008</v>
      </c>
      <c r="O25" t="s">
        <v>15</v>
      </c>
    </row>
    <row r="26" spans="1:15" hidden="1" x14ac:dyDescent="0.35">
      <c r="A26" t="s">
        <v>85</v>
      </c>
      <c r="B26" t="s">
        <v>86</v>
      </c>
      <c r="C26">
        <v>57</v>
      </c>
      <c r="D26" s="8" t="str" cm="1">
        <f t="array" ref="D26">_xlfn.IFS(C26&lt;=2, "Infant", C26&lt;=11, "Child", C26&lt;=17, "Adolescent", C26&lt;=44, "Young Adult", C26&lt;=64, "Middle Aged", C26&lt;=84,"Young Old", C26&gt;=85,"Oldest Old")</f>
        <v>Middle Aged</v>
      </c>
      <c r="E26" t="s">
        <v>18</v>
      </c>
      <c r="F26" s="4">
        <v>45706</v>
      </c>
      <c r="G26" s="4">
        <v>45709</v>
      </c>
      <c r="H26" s="7">
        <f t="shared" si="0"/>
        <v>3</v>
      </c>
      <c r="I26" t="s">
        <v>31</v>
      </c>
      <c r="J26" t="s">
        <v>87</v>
      </c>
      <c r="K26" s="2">
        <v>2641.14</v>
      </c>
      <c r="L26" s="9">
        <v>1</v>
      </c>
      <c r="M26" s="15">
        <f t="shared" si="1"/>
        <v>2641.14</v>
      </c>
      <c r="N26" s="15">
        <f t="shared" si="2"/>
        <v>0</v>
      </c>
      <c r="O26" t="s">
        <v>15</v>
      </c>
    </row>
    <row r="27" spans="1:15" hidden="1" x14ac:dyDescent="0.35">
      <c r="A27" t="s">
        <v>88</v>
      </c>
      <c r="B27" t="s">
        <v>89</v>
      </c>
      <c r="C27">
        <v>44</v>
      </c>
      <c r="D27" s="8" t="str" cm="1">
        <f t="array" ref="D27">_xlfn.IFS(C27&lt;=2, "Infant", C27&lt;=11, "Child", C27&lt;=17, "Adolescent", C27&lt;=44, "Young Adult", C27&lt;=64, "Middle Aged", C27&lt;=84,"Young Old", C27&gt;=85,"Oldest Old")</f>
        <v>Young Adult</v>
      </c>
      <c r="E27" t="s">
        <v>12</v>
      </c>
      <c r="F27" s="4">
        <v>45463</v>
      </c>
      <c r="G27" s="4">
        <v>45467</v>
      </c>
      <c r="H27" s="7">
        <f t="shared" si="0"/>
        <v>4</v>
      </c>
      <c r="I27" t="s">
        <v>31</v>
      </c>
      <c r="J27" t="s">
        <v>53</v>
      </c>
      <c r="K27" s="2">
        <v>5522.03</v>
      </c>
      <c r="L27" s="9">
        <v>0</v>
      </c>
      <c r="M27" s="15">
        <f t="shared" si="1"/>
        <v>0</v>
      </c>
      <c r="N27" s="15">
        <f t="shared" si="2"/>
        <v>5522.03</v>
      </c>
      <c r="O27" t="s">
        <v>25</v>
      </c>
    </row>
    <row r="28" spans="1:15" hidden="1" x14ac:dyDescent="0.35">
      <c r="A28" t="s">
        <v>90</v>
      </c>
      <c r="B28" t="s">
        <v>91</v>
      </c>
      <c r="C28">
        <v>58</v>
      </c>
      <c r="D28" s="8" t="str" cm="1">
        <f t="array" ref="D28">_xlfn.IFS(C28&lt;=2, "Infant", C28&lt;=11, "Child", C28&lt;=17, "Adolescent", C28&lt;=44, "Young Adult", C28&lt;=64, "Middle Aged", C28&lt;=84,"Young Old", C28&gt;=85,"Oldest Old")</f>
        <v>Middle Aged</v>
      </c>
      <c r="E28" t="s">
        <v>12</v>
      </c>
      <c r="F28" s="4">
        <v>45446</v>
      </c>
      <c r="G28" s="4">
        <v>45451</v>
      </c>
      <c r="H28" s="7">
        <f t="shared" si="0"/>
        <v>5</v>
      </c>
      <c r="I28" t="s">
        <v>13</v>
      </c>
      <c r="J28" t="s">
        <v>38</v>
      </c>
      <c r="K28" s="2">
        <v>8789.32</v>
      </c>
      <c r="L28" s="9">
        <v>0.9</v>
      </c>
      <c r="M28" s="15">
        <f t="shared" si="1"/>
        <v>7910.3879999999999</v>
      </c>
      <c r="N28" s="15">
        <f t="shared" si="2"/>
        <v>878.93199999999979</v>
      </c>
      <c r="O28" t="s">
        <v>20</v>
      </c>
    </row>
    <row r="29" spans="1:15" hidden="1" x14ac:dyDescent="0.35">
      <c r="A29" t="s">
        <v>92</v>
      </c>
      <c r="B29" t="s">
        <v>93</v>
      </c>
      <c r="C29">
        <v>62</v>
      </c>
      <c r="D29" s="8" t="str" cm="1">
        <f t="array" ref="D29">_xlfn.IFS(C29&lt;=2, "Infant", C29&lt;=11, "Child", C29&lt;=17, "Adolescent", C29&lt;=44, "Young Adult", C29&lt;=64, "Middle Aged", C29&lt;=84,"Young Old", C29&gt;=85,"Oldest Old")</f>
        <v>Middle Aged</v>
      </c>
      <c r="E29" t="s">
        <v>12</v>
      </c>
      <c r="F29" s="4">
        <v>45682</v>
      </c>
      <c r="G29" s="4">
        <v>45687</v>
      </c>
      <c r="H29" s="7">
        <f t="shared" si="0"/>
        <v>5</v>
      </c>
      <c r="I29" t="s">
        <v>70</v>
      </c>
      <c r="J29" t="s">
        <v>94</v>
      </c>
      <c r="K29" s="2">
        <v>7969.42</v>
      </c>
      <c r="L29" s="9">
        <v>1</v>
      </c>
      <c r="M29" s="15">
        <f t="shared" si="1"/>
        <v>7969.42</v>
      </c>
      <c r="N29" s="15">
        <f t="shared" si="2"/>
        <v>0</v>
      </c>
      <c r="O29" t="s">
        <v>15</v>
      </c>
    </row>
    <row r="30" spans="1:15" hidden="1" x14ac:dyDescent="0.35">
      <c r="A30" t="s">
        <v>95</v>
      </c>
      <c r="B30" t="s">
        <v>96</v>
      </c>
      <c r="C30">
        <v>52</v>
      </c>
      <c r="D30" s="8" t="str" cm="1">
        <f t="array" ref="D30">_xlfn.IFS(C30&lt;=2, "Infant", C30&lt;=11, "Child", C30&lt;=17, "Adolescent", C30&lt;=44, "Young Adult", C30&lt;=64, "Middle Aged", C30&lt;=84,"Young Old", C30&gt;=85,"Oldest Old")</f>
        <v>Middle Aged</v>
      </c>
      <c r="E30" t="s">
        <v>12</v>
      </c>
      <c r="F30" s="4">
        <v>45753</v>
      </c>
      <c r="G30" s="4">
        <v>45759</v>
      </c>
      <c r="H30" s="7">
        <f t="shared" si="0"/>
        <v>6</v>
      </c>
      <c r="I30" t="s">
        <v>60</v>
      </c>
      <c r="J30" t="s">
        <v>97</v>
      </c>
      <c r="K30" s="2">
        <v>7929.71</v>
      </c>
      <c r="L30" s="9">
        <v>0.9</v>
      </c>
      <c r="M30" s="15">
        <f t="shared" si="1"/>
        <v>7136.7390000000005</v>
      </c>
      <c r="N30" s="15">
        <f t="shared" si="2"/>
        <v>792.97099999999955</v>
      </c>
      <c r="O30" t="s">
        <v>15</v>
      </c>
    </row>
    <row r="31" spans="1:15" hidden="1" x14ac:dyDescent="0.35">
      <c r="A31" t="s">
        <v>98</v>
      </c>
      <c r="B31" t="s">
        <v>99</v>
      </c>
      <c r="C31">
        <v>35</v>
      </c>
      <c r="D31" s="8" t="str" cm="1">
        <f t="array" ref="D31">_xlfn.IFS(C31&lt;=2, "Infant", C31&lt;=11, "Child", C31&lt;=17, "Adolescent", C31&lt;=44, "Young Adult", C31&lt;=64, "Middle Aged", C31&lt;=84,"Young Old", C31&gt;=85,"Oldest Old")</f>
        <v>Young Adult</v>
      </c>
      <c r="E31" t="s">
        <v>18</v>
      </c>
      <c r="F31" s="4">
        <v>45566</v>
      </c>
      <c r="G31" s="4">
        <v>45569</v>
      </c>
      <c r="H31" s="7">
        <f t="shared" si="0"/>
        <v>3</v>
      </c>
      <c r="I31" t="s">
        <v>23</v>
      </c>
      <c r="J31" t="s">
        <v>28</v>
      </c>
      <c r="K31" s="2">
        <v>4772.8900000000003</v>
      </c>
      <c r="L31" s="9">
        <v>0.9</v>
      </c>
      <c r="M31" s="15">
        <f t="shared" si="1"/>
        <v>4295.6010000000006</v>
      </c>
      <c r="N31" s="15">
        <f t="shared" si="2"/>
        <v>477.28899999999976</v>
      </c>
      <c r="O31" t="s">
        <v>15</v>
      </c>
    </row>
    <row r="32" spans="1:15" hidden="1" x14ac:dyDescent="0.35">
      <c r="A32" t="s">
        <v>100</v>
      </c>
      <c r="B32" t="s">
        <v>101</v>
      </c>
      <c r="C32">
        <v>79</v>
      </c>
      <c r="D32" s="8" t="str" cm="1">
        <f t="array" ref="D32">_xlfn.IFS(C32&lt;=2, "Infant", C32&lt;=11, "Child", C32&lt;=17, "Adolescent", C32&lt;=44, "Young Adult", C32&lt;=64, "Middle Aged", C32&lt;=84,"Young Old", C32&gt;=85,"Oldest Old")</f>
        <v>Young Old</v>
      </c>
      <c r="E32" t="s">
        <v>18</v>
      </c>
      <c r="F32" s="4">
        <v>45466</v>
      </c>
      <c r="G32" s="4">
        <v>45469</v>
      </c>
      <c r="H32" s="7">
        <f t="shared" si="0"/>
        <v>3</v>
      </c>
      <c r="I32" t="s">
        <v>13</v>
      </c>
      <c r="J32" t="s">
        <v>102</v>
      </c>
      <c r="K32" s="2">
        <v>6826.49</v>
      </c>
      <c r="L32" s="9">
        <v>0.8</v>
      </c>
      <c r="M32" s="15">
        <f t="shared" si="1"/>
        <v>5461.192</v>
      </c>
      <c r="N32" s="15">
        <f t="shared" si="2"/>
        <v>1365.2979999999998</v>
      </c>
      <c r="O32" t="s">
        <v>15</v>
      </c>
    </row>
    <row r="33" spans="1:15" x14ac:dyDescent="0.35">
      <c r="A33" t="s">
        <v>103</v>
      </c>
      <c r="B33" t="s">
        <v>104</v>
      </c>
      <c r="C33">
        <v>69</v>
      </c>
      <c r="D33" s="8" t="str" cm="1">
        <f t="array" ref="D33">_xlfn.IFS(C33&lt;=2, "Infant", C33&lt;=11, "Child", C33&lt;=17, "Adolescent", C33&lt;=44, "Young Adult", C33&lt;=64, "Middle Aged", C33&lt;=84,"Young Old", C33&gt;=85,"Oldest Old")</f>
        <v>Young Old</v>
      </c>
      <c r="E33" t="s">
        <v>18</v>
      </c>
      <c r="F33" s="4">
        <v>45371</v>
      </c>
      <c r="G33" s="4">
        <v>45373</v>
      </c>
      <c r="H33" s="7">
        <f t="shared" si="0"/>
        <v>2</v>
      </c>
      <c r="I33" t="s">
        <v>31</v>
      </c>
      <c r="J33" t="s">
        <v>32</v>
      </c>
      <c r="K33" s="2">
        <v>2177.7800000000002</v>
      </c>
      <c r="L33" s="9">
        <v>0.9</v>
      </c>
      <c r="M33" s="15">
        <f t="shared" si="1"/>
        <v>1960.0020000000002</v>
      </c>
      <c r="N33" s="15">
        <f t="shared" si="2"/>
        <v>217.77800000000002</v>
      </c>
      <c r="O33" t="s">
        <v>25</v>
      </c>
    </row>
    <row r="34" spans="1:15" hidden="1" x14ac:dyDescent="0.35">
      <c r="A34" t="s">
        <v>105</v>
      </c>
      <c r="B34" t="s">
        <v>106</v>
      </c>
      <c r="C34">
        <v>21</v>
      </c>
      <c r="D34" s="8" t="str" cm="1">
        <f t="array" ref="D34">_xlfn.IFS(C34&lt;=2, "Infant", C34&lt;=11, "Child", C34&lt;=17, "Adolescent", C34&lt;=44, "Young Adult", C34&lt;=64, "Middle Aged", C34&lt;=84,"Young Old", C34&gt;=85,"Oldest Old")</f>
        <v>Young Adult</v>
      </c>
      <c r="E34" t="s">
        <v>18</v>
      </c>
      <c r="F34" s="4">
        <v>45798</v>
      </c>
      <c r="G34" s="4">
        <v>45800</v>
      </c>
      <c r="H34" s="7">
        <f t="shared" si="0"/>
        <v>2</v>
      </c>
      <c r="I34" t="s">
        <v>23</v>
      </c>
      <c r="J34" t="s">
        <v>28</v>
      </c>
      <c r="K34" s="2">
        <v>3527.3</v>
      </c>
      <c r="L34" s="9">
        <v>0</v>
      </c>
      <c r="M34" s="15">
        <f t="shared" si="1"/>
        <v>0</v>
      </c>
      <c r="N34" s="15">
        <f t="shared" si="2"/>
        <v>3527.3</v>
      </c>
      <c r="O34" t="s">
        <v>25</v>
      </c>
    </row>
    <row r="35" spans="1:15" hidden="1" x14ac:dyDescent="0.35">
      <c r="A35" t="s">
        <v>107</v>
      </c>
      <c r="B35" t="s">
        <v>108</v>
      </c>
      <c r="C35">
        <v>49</v>
      </c>
      <c r="D35" s="8" t="str" cm="1">
        <f t="array" ref="D35">_xlfn.IFS(C35&lt;=2, "Infant", C35&lt;=11, "Child", C35&lt;=17, "Adolescent", C35&lt;=44, "Young Adult", C35&lt;=64, "Middle Aged", C35&lt;=84,"Young Old", C35&gt;=85,"Oldest Old")</f>
        <v>Middle Aged</v>
      </c>
      <c r="E35" t="s">
        <v>12</v>
      </c>
      <c r="F35" s="4">
        <v>45945</v>
      </c>
      <c r="G35" s="4">
        <v>45946</v>
      </c>
      <c r="H35" s="7">
        <f t="shared" si="0"/>
        <v>1</v>
      </c>
      <c r="I35" t="s">
        <v>23</v>
      </c>
      <c r="J35" t="s">
        <v>28</v>
      </c>
      <c r="K35" s="2">
        <v>1184.01</v>
      </c>
      <c r="L35" s="9">
        <v>1</v>
      </c>
      <c r="M35" s="15">
        <f t="shared" si="1"/>
        <v>1184.01</v>
      </c>
      <c r="N35" s="15">
        <f t="shared" si="2"/>
        <v>0</v>
      </c>
      <c r="O35" t="s">
        <v>15</v>
      </c>
    </row>
    <row r="36" spans="1:15" hidden="1" x14ac:dyDescent="0.35">
      <c r="A36" t="s">
        <v>109</v>
      </c>
      <c r="B36" t="s">
        <v>110</v>
      </c>
      <c r="C36">
        <v>61</v>
      </c>
      <c r="D36" s="8" t="str" cm="1">
        <f t="array" ref="D36">_xlfn.IFS(C36&lt;=2, "Infant", C36&lt;=11, "Child", C36&lt;=17, "Adolescent", C36&lt;=44, "Young Adult", C36&lt;=64, "Middle Aged", C36&lt;=84,"Young Old", C36&gt;=85,"Oldest Old")</f>
        <v>Middle Aged</v>
      </c>
      <c r="E36" t="s">
        <v>12</v>
      </c>
      <c r="F36" s="4">
        <v>45737</v>
      </c>
      <c r="G36" s="4">
        <v>45742</v>
      </c>
      <c r="H36" s="7">
        <f t="shared" si="0"/>
        <v>5</v>
      </c>
      <c r="I36" t="s">
        <v>13</v>
      </c>
      <c r="J36" t="s">
        <v>111</v>
      </c>
      <c r="K36" s="2">
        <v>10760.65</v>
      </c>
      <c r="L36" s="9">
        <v>1</v>
      </c>
      <c r="M36" s="15">
        <f t="shared" si="1"/>
        <v>10760.65</v>
      </c>
      <c r="N36" s="15">
        <f t="shared" si="2"/>
        <v>0</v>
      </c>
      <c r="O36" t="s">
        <v>15</v>
      </c>
    </row>
    <row r="37" spans="1:15" hidden="1" x14ac:dyDescent="0.35">
      <c r="A37" t="s">
        <v>112</v>
      </c>
      <c r="B37" t="s">
        <v>113</v>
      </c>
      <c r="C37">
        <v>32</v>
      </c>
      <c r="D37" s="8" t="str" cm="1">
        <f t="array" ref="D37">_xlfn.IFS(C37&lt;=2, "Infant", C37&lt;=11, "Child", C37&lt;=17, "Adolescent", C37&lt;=44, "Young Adult", C37&lt;=64, "Middle Aged", C37&lt;=84,"Young Old", C37&gt;=85,"Oldest Old")</f>
        <v>Young Adult</v>
      </c>
      <c r="E37" t="s">
        <v>18</v>
      </c>
      <c r="F37" s="4">
        <v>45878</v>
      </c>
      <c r="G37" s="4">
        <v>45883</v>
      </c>
      <c r="H37" s="7">
        <f t="shared" si="0"/>
        <v>5</v>
      </c>
      <c r="I37" t="s">
        <v>31</v>
      </c>
      <c r="J37" t="s">
        <v>114</v>
      </c>
      <c r="K37" s="2">
        <v>7422.15</v>
      </c>
      <c r="L37" s="9">
        <v>0.6</v>
      </c>
      <c r="M37" s="15">
        <f t="shared" si="1"/>
        <v>4453.29</v>
      </c>
      <c r="N37" s="15">
        <f t="shared" si="2"/>
        <v>2968.8599999999997</v>
      </c>
      <c r="O37" t="s">
        <v>20</v>
      </c>
    </row>
    <row r="38" spans="1:15" hidden="1" x14ac:dyDescent="0.35">
      <c r="A38" t="s">
        <v>115</v>
      </c>
      <c r="B38" t="s">
        <v>116</v>
      </c>
      <c r="C38">
        <v>7</v>
      </c>
      <c r="D38" s="8" t="str" cm="1">
        <f t="array" ref="D38">_xlfn.IFS(C38&lt;=2, "Infant", C38&lt;=11, "Child", C38&lt;=17, "Adolescent", C38&lt;=44, "Young Adult", C38&lt;=64, "Middle Aged", C38&lt;=84,"Young Old", C38&gt;=85,"Oldest Old")</f>
        <v>Child</v>
      </c>
      <c r="E38" t="s">
        <v>18</v>
      </c>
      <c r="F38" s="4">
        <v>45811</v>
      </c>
      <c r="G38" s="4">
        <v>45816</v>
      </c>
      <c r="H38" s="7">
        <f t="shared" si="0"/>
        <v>5</v>
      </c>
      <c r="I38" t="s">
        <v>49</v>
      </c>
      <c r="J38" t="s">
        <v>117</v>
      </c>
      <c r="K38" s="2">
        <v>3623.14</v>
      </c>
      <c r="L38" s="9">
        <v>0.5</v>
      </c>
      <c r="M38" s="15">
        <f t="shared" si="1"/>
        <v>1811.57</v>
      </c>
      <c r="N38" s="15">
        <f t="shared" si="2"/>
        <v>1811.57</v>
      </c>
      <c r="O38" t="s">
        <v>15</v>
      </c>
    </row>
    <row r="39" spans="1:15" hidden="1" x14ac:dyDescent="0.35">
      <c r="A39" t="s">
        <v>118</v>
      </c>
      <c r="B39" t="s">
        <v>119</v>
      </c>
      <c r="C39">
        <v>7</v>
      </c>
      <c r="D39" s="8" t="str" cm="1">
        <f t="array" ref="D39">_xlfn.IFS(C39&lt;=2, "Infant", C39&lt;=11, "Child", C39&lt;=17, "Adolescent", C39&lt;=44, "Young Adult", C39&lt;=64, "Middle Aged", C39&lt;=84,"Young Old", C39&gt;=85,"Oldest Old")</f>
        <v>Child</v>
      </c>
      <c r="E39" t="s">
        <v>12</v>
      </c>
      <c r="F39" s="4">
        <v>45636</v>
      </c>
      <c r="G39" s="4">
        <v>45637</v>
      </c>
      <c r="H39" s="7">
        <f t="shared" si="0"/>
        <v>1</v>
      </c>
      <c r="I39" t="s">
        <v>49</v>
      </c>
      <c r="J39" t="s">
        <v>120</v>
      </c>
      <c r="K39" s="2">
        <v>946.04</v>
      </c>
      <c r="L39" s="9">
        <v>0.9</v>
      </c>
      <c r="M39" s="15">
        <f t="shared" si="1"/>
        <v>851.43600000000004</v>
      </c>
      <c r="N39" s="15">
        <f t="shared" si="2"/>
        <v>94.603999999999928</v>
      </c>
      <c r="O39" t="s">
        <v>20</v>
      </c>
    </row>
    <row r="40" spans="1:15" hidden="1" x14ac:dyDescent="0.35">
      <c r="A40" t="s">
        <v>121</v>
      </c>
      <c r="B40" t="s">
        <v>122</v>
      </c>
      <c r="C40">
        <v>4</v>
      </c>
      <c r="D40" s="8" t="str" cm="1">
        <f t="array" ref="D40">_xlfn.IFS(C40&lt;=2, "Infant", C40&lt;=11, "Child", C40&lt;=17, "Adolescent", C40&lt;=44, "Young Adult", C40&lt;=64, "Middle Aged", C40&lt;=84,"Young Old", C40&gt;=85,"Oldest Old")</f>
        <v>Child</v>
      </c>
      <c r="E40" t="s">
        <v>12</v>
      </c>
      <c r="F40" s="4">
        <v>45952</v>
      </c>
      <c r="G40" s="4">
        <v>45955</v>
      </c>
      <c r="H40" s="7">
        <f t="shared" si="0"/>
        <v>3</v>
      </c>
      <c r="I40" t="s">
        <v>49</v>
      </c>
      <c r="J40" t="s">
        <v>123</v>
      </c>
      <c r="K40" s="2">
        <v>3976.01</v>
      </c>
      <c r="L40" s="9">
        <v>0.6</v>
      </c>
      <c r="M40" s="15">
        <f t="shared" si="1"/>
        <v>2385.6060000000002</v>
      </c>
      <c r="N40" s="15">
        <f t="shared" si="2"/>
        <v>1590.404</v>
      </c>
      <c r="O40" t="s">
        <v>25</v>
      </c>
    </row>
    <row r="41" spans="1:15" hidden="1" x14ac:dyDescent="0.35">
      <c r="A41" t="s">
        <v>124</v>
      </c>
      <c r="B41" t="s">
        <v>125</v>
      </c>
      <c r="C41">
        <v>81</v>
      </c>
      <c r="D41" s="8" t="str" cm="1">
        <f t="array" ref="D41">_xlfn.IFS(C41&lt;=2, "Infant", C41&lt;=11, "Child", C41&lt;=17, "Adolescent", C41&lt;=44, "Young Adult", C41&lt;=64, "Middle Aged", C41&lt;=84,"Young Old", C41&gt;=85,"Oldest Old")</f>
        <v>Young Old</v>
      </c>
      <c r="E41" t="s">
        <v>18</v>
      </c>
      <c r="F41" s="4">
        <v>45643</v>
      </c>
      <c r="G41" s="4">
        <v>45652</v>
      </c>
      <c r="H41" s="7">
        <f t="shared" si="0"/>
        <v>9</v>
      </c>
      <c r="I41" t="s">
        <v>13</v>
      </c>
      <c r="J41" t="s">
        <v>14</v>
      </c>
      <c r="K41" s="2">
        <v>26928.32</v>
      </c>
      <c r="L41" s="9">
        <v>0.7</v>
      </c>
      <c r="M41" s="15">
        <f t="shared" si="1"/>
        <v>18849.823999999997</v>
      </c>
      <c r="N41" s="15">
        <f t="shared" si="2"/>
        <v>8078.4960000000028</v>
      </c>
      <c r="O41" t="s">
        <v>25</v>
      </c>
    </row>
    <row r="42" spans="1:15" hidden="1" x14ac:dyDescent="0.35">
      <c r="A42" t="s">
        <v>126</v>
      </c>
      <c r="B42" t="s">
        <v>127</v>
      </c>
      <c r="C42">
        <v>81</v>
      </c>
      <c r="D42" s="8" t="str" cm="1">
        <f t="array" ref="D42">_xlfn.IFS(C42&lt;=2, "Infant", C42&lt;=11, "Child", C42&lt;=17, "Adolescent", C42&lt;=44, "Young Adult", C42&lt;=64, "Middle Aged", C42&lt;=84,"Young Old", C42&gt;=85,"Oldest Old")</f>
        <v>Young Old</v>
      </c>
      <c r="E42" t="s">
        <v>18</v>
      </c>
      <c r="F42" s="4">
        <v>45701</v>
      </c>
      <c r="G42" s="4">
        <v>45706</v>
      </c>
      <c r="H42" s="7">
        <f t="shared" si="0"/>
        <v>5</v>
      </c>
      <c r="I42" t="s">
        <v>13</v>
      </c>
      <c r="J42" t="s">
        <v>102</v>
      </c>
      <c r="K42" s="2">
        <v>7203.24</v>
      </c>
      <c r="L42" s="9">
        <v>0.7</v>
      </c>
      <c r="M42" s="15">
        <f t="shared" si="1"/>
        <v>5042.2679999999991</v>
      </c>
      <c r="N42" s="15">
        <f t="shared" si="2"/>
        <v>2160.9720000000007</v>
      </c>
      <c r="O42" t="s">
        <v>15</v>
      </c>
    </row>
    <row r="43" spans="1:15" hidden="1" x14ac:dyDescent="0.35">
      <c r="A43" t="s">
        <v>128</v>
      </c>
      <c r="B43" t="s">
        <v>129</v>
      </c>
      <c r="C43">
        <v>14</v>
      </c>
      <c r="D43" s="8" t="str" cm="1">
        <f t="array" ref="D43">_xlfn.IFS(C43&lt;=2, "Infant", C43&lt;=11, "Child", C43&lt;=17, "Adolescent", C43&lt;=44, "Young Adult", C43&lt;=64, "Middle Aged", C43&lt;=84,"Young Old", C43&gt;=85,"Oldest Old")</f>
        <v>Adolescent</v>
      </c>
      <c r="E43" t="s">
        <v>18</v>
      </c>
      <c r="F43" s="4">
        <v>45979</v>
      </c>
      <c r="G43" s="4">
        <v>45983</v>
      </c>
      <c r="H43" s="7">
        <f t="shared" si="0"/>
        <v>4</v>
      </c>
      <c r="I43" t="s">
        <v>49</v>
      </c>
      <c r="J43" t="s">
        <v>130</v>
      </c>
      <c r="K43" s="2">
        <v>5685.06</v>
      </c>
      <c r="L43" s="9">
        <v>0.8</v>
      </c>
      <c r="M43" s="15">
        <f t="shared" si="1"/>
        <v>4548.0480000000007</v>
      </c>
      <c r="N43" s="15">
        <f t="shared" si="2"/>
        <v>1137.0119999999997</v>
      </c>
      <c r="O43" t="s">
        <v>15</v>
      </c>
    </row>
    <row r="44" spans="1:15" hidden="1" x14ac:dyDescent="0.35">
      <c r="A44" t="s">
        <v>131</v>
      </c>
      <c r="B44" t="s">
        <v>132</v>
      </c>
      <c r="C44">
        <v>73</v>
      </c>
      <c r="D44" s="8" t="str" cm="1">
        <f t="array" ref="D44">_xlfn.IFS(C44&lt;=2, "Infant", C44&lt;=11, "Child", C44&lt;=17, "Adolescent", C44&lt;=44, "Young Adult", C44&lt;=64, "Middle Aged", C44&lt;=84,"Young Old", C44&gt;=85,"Oldest Old")</f>
        <v>Young Old</v>
      </c>
      <c r="E44" t="s">
        <v>18</v>
      </c>
      <c r="F44" s="4">
        <v>45905</v>
      </c>
      <c r="G44" s="4">
        <v>45908</v>
      </c>
      <c r="H44" s="7">
        <f t="shared" si="0"/>
        <v>3</v>
      </c>
      <c r="I44" t="s">
        <v>60</v>
      </c>
      <c r="J44" t="s">
        <v>133</v>
      </c>
      <c r="K44" s="2">
        <v>4949.0600000000004</v>
      </c>
      <c r="L44" s="9">
        <v>0.5</v>
      </c>
      <c r="M44" s="15">
        <f t="shared" si="1"/>
        <v>2474.5300000000002</v>
      </c>
      <c r="N44" s="15">
        <f t="shared" si="2"/>
        <v>2474.5300000000002</v>
      </c>
      <c r="O44" t="s">
        <v>15</v>
      </c>
    </row>
    <row r="45" spans="1:15" hidden="1" x14ac:dyDescent="0.35">
      <c r="A45" t="s">
        <v>134</v>
      </c>
      <c r="B45" t="s">
        <v>81</v>
      </c>
      <c r="C45">
        <v>50</v>
      </c>
      <c r="D45" s="8" t="str" cm="1">
        <f t="array" ref="D45">_xlfn.IFS(C45&lt;=2, "Infant", C45&lt;=11, "Child", C45&lt;=17, "Adolescent", C45&lt;=44, "Young Adult", C45&lt;=64, "Middle Aged", C45&lt;=84,"Young Old", C45&gt;=85,"Oldest Old")</f>
        <v>Middle Aged</v>
      </c>
      <c r="E45" t="s">
        <v>12</v>
      </c>
      <c r="F45" s="4">
        <v>45638</v>
      </c>
      <c r="G45" s="4">
        <v>45642</v>
      </c>
      <c r="H45" s="7">
        <f t="shared" si="0"/>
        <v>4</v>
      </c>
      <c r="I45" t="s">
        <v>60</v>
      </c>
      <c r="J45" t="s">
        <v>77</v>
      </c>
      <c r="K45" s="2">
        <v>5586.28</v>
      </c>
      <c r="L45" s="9">
        <v>0.9</v>
      </c>
      <c r="M45" s="15">
        <f t="shared" si="1"/>
        <v>5027.652</v>
      </c>
      <c r="N45" s="15">
        <f t="shared" si="2"/>
        <v>558.6279999999997</v>
      </c>
      <c r="O45" t="s">
        <v>15</v>
      </c>
    </row>
    <row r="46" spans="1:15" hidden="1" x14ac:dyDescent="0.35">
      <c r="A46" t="s">
        <v>135</v>
      </c>
      <c r="B46" t="s">
        <v>136</v>
      </c>
      <c r="C46">
        <v>73</v>
      </c>
      <c r="D46" s="8" t="str" cm="1">
        <f t="array" ref="D46">_xlfn.IFS(C46&lt;=2, "Infant", C46&lt;=11, "Child", C46&lt;=17, "Adolescent", C46&lt;=44, "Young Adult", C46&lt;=64, "Middle Aged", C46&lt;=84,"Young Old", C46&gt;=85,"Oldest Old")</f>
        <v>Young Old</v>
      </c>
      <c r="E46" t="s">
        <v>18</v>
      </c>
      <c r="F46" s="4">
        <v>45490</v>
      </c>
      <c r="G46" s="4">
        <v>45491</v>
      </c>
      <c r="H46" s="7">
        <f t="shared" si="0"/>
        <v>1</v>
      </c>
      <c r="I46" t="s">
        <v>31</v>
      </c>
      <c r="J46" t="s">
        <v>53</v>
      </c>
      <c r="K46" s="2">
        <v>766.8</v>
      </c>
      <c r="L46" s="9">
        <v>0.6</v>
      </c>
      <c r="M46" s="15">
        <f t="shared" si="1"/>
        <v>460.08</v>
      </c>
      <c r="N46" s="15">
        <f t="shared" si="2"/>
        <v>306.71999999999997</v>
      </c>
      <c r="O46" t="s">
        <v>20</v>
      </c>
    </row>
    <row r="47" spans="1:15" hidden="1" x14ac:dyDescent="0.35">
      <c r="A47" t="s">
        <v>137</v>
      </c>
      <c r="B47" t="s">
        <v>116</v>
      </c>
      <c r="C47">
        <v>60</v>
      </c>
      <c r="D47" s="8" t="str" cm="1">
        <f t="array" ref="D47">_xlfn.IFS(C47&lt;=2, "Infant", C47&lt;=11, "Child", C47&lt;=17, "Adolescent", C47&lt;=44, "Young Adult", C47&lt;=64, "Middle Aged", C47&lt;=84,"Young Old", C47&gt;=85,"Oldest Old")</f>
        <v>Middle Aged</v>
      </c>
      <c r="E47" t="s">
        <v>18</v>
      </c>
      <c r="F47" s="4">
        <v>45425</v>
      </c>
      <c r="G47" s="4">
        <v>45438</v>
      </c>
      <c r="H47" s="7">
        <f t="shared" si="0"/>
        <v>13</v>
      </c>
      <c r="I47" t="s">
        <v>60</v>
      </c>
      <c r="J47" t="s">
        <v>74</v>
      </c>
      <c r="K47" s="2">
        <v>28480.18</v>
      </c>
      <c r="L47" s="9">
        <v>0.7</v>
      </c>
      <c r="M47" s="15">
        <f t="shared" si="1"/>
        <v>19936.126</v>
      </c>
      <c r="N47" s="15">
        <f t="shared" si="2"/>
        <v>8544.0540000000001</v>
      </c>
      <c r="O47" t="s">
        <v>15</v>
      </c>
    </row>
    <row r="48" spans="1:15" hidden="1" x14ac:dyDescent="0.35">
      <c r="A48" t="s">
        <v>138</v>
      </c>
      <c r="B48" t="s">
        <v>139</v>
      </c>
      <c r="C48">
        <v>37</v>
      </c>
      <c r="D48" s="8" t="str" cm="1">
        <f t="array" ref="D48">_xlfn.IFS(C48&lt;=2, "Infant", C48&lt;=11, "Child", C48&lt;=17, "Adolescent", C48&lt;=44, "Young Adult", C48&lt;=64, "Middle Aged", C48&lt;=84,"Young Old", C48&gt;=85,"Oldest Old")</f>
        <v>Young Adult</v>
      </c>
      <c r="E48" t="s">
        <v>18</v>
      </c>
      <c r="F48" s="4">
        <v>45663</v>
      </c>
      <c r="G48" s="4">
        <v>45665</v>
      </c>
      <c r="H48" s="7">
        <f t="shared" si="0"/>
        <v>2</v>
      </c>
      <c r="I48" t="s">
        <v>31</v>
      </c>
      <c r="J48" t="s">
        <v>114</v>
      </c>
      <c r="K48" s="2">
        <v>1098.9100000000001</v>
      </c>
      <c r="L48" s="9">
        <v>0.7</v>
      </c>
      <c r="M48" s="15">
        <f t="shared" si="1"/>
        <v>769.23699999999997</v>
      </c>
      <c r="N48" s="15">
        <f t="shared" si="2"/>
        <v>329.67300000000012</v>
      </c>
      <c r="O48" t="s">
        <v>20</v>
      </c>
    </row>
    <row r="49" spans="1:15" hidden="1" x14ac:dyDescent="0.35">
      <c r="A49" t="s">
        <v>140</v>
      </c>
      <c r="B49" t="s">
        <v>141</v>
      </c>
      <c r="C49">
        <v>54</v>
      </c>
      <c r="D49" s="8" t="str" cm="1">
        <f t="array" ref="D49">_xlfn.IFS(C49&lt;=2, "Infant", C49&lt;=11, "Child", C49&lt;=17, "Adolescent", C49&lt;=44, "Young Adult", C49&lt;=64, "Middle Aged", C49&lt;=84,"Young Old", C49&gt;=85,"Oldest Old")</f>
        <v>Middle Aged</v>
      </c>
      <c r="E49" t="s">
        <v>12</v>
      </c>
      <c r="F49" s="4">
        <v>45966</v>
      </c>
      <c r="G49" s="4">
        <v>45976</v>
      </c>
      <c r="H49" s="7">
        <f t="shared" si="0"/>
        <v>10</v>
      </c>
      <c r="I49" t="s">
        <v>60</v>
      </c>
      <c r="J49" t="s">
        <v>142</v>
      </c>
      <c r="K49" s="2">
        <v>22377.119999999999</v>
      </c>
      <c r="L49" s="9">
        <v>0.8</v>
      </c>
      <c r="M49" s="15">
        <f t="shared" si="1"/>
        <v>17901.696</v>
      </c>
      <c r="N49" s="15">
        <f t="shared" si="2"/>
        <v>4475.4239999999991</v>
      </c>
      <c r="O49" t="s">
        <v>15</v>
      </c>
    </row>
    <row r="50" spans="1:15" hidden="1" x14ac:dyDescent="0.35">
      <c r="A50" t="s">
        <v>143</v>
      </c>
      <c r="B50" t="s">
        <v>144</v>
      </c>
      <c r="C50">
        <v>1</v>
      </c>
      <c r="D50" s="8" t="str" cm="1">
        <f t="array" ref="D50">_xlfn.IFS(C50&lt;=2, "Infant", C50&lt;=11, "Child", C50&lt;=17, "Adolescent", C50&lt;=44, "Young Adult", C50&lt;=64, "Middle Aged", C50&lt;=84,"Young Old", C50&gt;=85,"Oldest Old")</f>
        <v>Infant</v>
      </c>
      <c r="E50" t="s">
        <v>12</v>
      </c>
      <c r="F50" s="4">
        <v>45545</v>
      </c>
      <c r="G50" s="4">
        <v>45549</v>
      </c>
      <c r="H50" s="7">
        <f t="shared" si="0"/>
        <v>4</v>
      </c>
      <c r="I50" t="s">
        <v>49</v>
      </c>
      <c r="J50" t="s">
        <v>120</v>
      </c>
      <c r="K50" s="2">
        <v>3895.9</v>
      </c>
      <c r="L50" s="9">
        <v>0</v>
      </c>
      <c r="M50" s="15">
        <f t="shared" si="1"/>
        <v>0</v>
      </c>
      <c r="N50" s="15">
        <f t="shared" si="2"/>
        <v>3895.9</v>
      </c>
      <c r="O50" t="s">
        <v>20</v>
      </c>
    </row>
    <row r="51" spans="1:15" hidden="1" x14ac:dyDescent="0.35">
      <c r="A51" t="s">
        <v>145</v>
      </c>
      <c r="B51" t="s">
        <v>146</v>
      </c>
      <c r="C51">
        <v>51</v>
      </c>
      <c r="D51" s="8" t="str" cm="1">
        <f t="array" ref="D51">_xlfn.IFS(C51&lt;=2, "Infant", C51&lt;=11, "Child", C51&lt;=17, "Adolescent", C51&lt;=44, "Young Adult", C51&lt;=64, "Middle Aged", C51&lt;=84,"Young Old", C51&gt;=85,"Oldest Old")</f>
        <v>Middle Aged</v>
      </c>
      <c r="E51" t="s">
        <v>12</v>
      </c>
      <c r="F51" s="4">
        <v>45920</v>
      </c>
      <c r="G51" s="4">
        <v>45929</v>
      </c>
      <c r="H51" s="7">
        <f t="shared" si="0"/>
        <v>9</v>
      </c>
      <c r="I51" t="s">
        <v>60</v>
      </c>
      <c r="J51" t="s">
        <v>142</v>
      </c>
      <c r="K51" s="2">
        <v>10684</v>
      </c>
      <c r="L51" s="9">
        <v>0.6</v>
      </c>
      <c r="M51" s="15">
        <f t="shared" si="1"/>
        <v>6410.4</v>
      </c>
      <c r="N51" s="15">
        <f t="shared" si="2"/>
        <v>4273.6000000000004</v>
      </c>
      <c r="O51" t="s">
        <v>15</v>
      </c>
    </row>
    <row r="52" spans="1:15" hidden="1" x14ac:dyDescent="0.35">
      <c r="A52" t="s">
        <v>147</v>
      </c>
      <c r="B52" t="s">
        <v>148</v>
      </c>
      <c r="C52">
        <v>23</v>
      </c>
      <c r="D52" s="8" t="str" cm="1">
        <f t="array" ref="D52">_xlfn.IFS(C52&lt;=2, "Infant", C52&lt;=11, "Child", C52&lt;=17, "Adolescent", C52&lt;=44, "Young Adult", C52&lt;=64, "Middle Aged", C52&lt;=84,"Young Old", C52&gt;=85,"Oldest Old")</f>
        <v>Young Adult</v>
      </c>
      <c r="E52" t="s">
        <v>18</v>
      </c>
      <c r="F52" s="4">
        <v>45479</v>
      </c>
      <c r="G52" s="4">
        <v>45483</v>
      </c>
      <c r="H52" s="7">
        <f t="shared" si="0"/>
        <v>4</v>
      </c>
      <c r="I52" t="s">
        <v>31</v>
      </c>
      <c r="J52" t="s">
        <v>35</v>
      </c>
      <c r="K52" s="2">
        <v>3643.5</v>
      </c>
      <c r="L52" s="9">
        <v>0.7</v>
      </c>
      <c r="M52" s="15">
        <f t="shared" si="1"/>
        <v>2550.4499999999998</v>
      </c>
      <c r="N52" s="15">
        <f t="shared" si="2"/>
        <v>1093.0500000000002</v>
      </c>
      <c r="O52" t="s">
        <v>25</v>
      </c>
    </row>
    <row r="53" spans="1:15" hidden="1" x14ac:dyDescent="0.35">
      <c r="A53" t="s">
        <v>149</v>
      </c>
      <c r="B53" t="s">
        <v>150</v>
      </c>
      <c r="C53">
        <v>67</v>
      </c>
      <c r="D53" s="8" t="str" cm="1">
        <f t="array" ref="D53">_xlfn.IFS(C53&lt;=2, "Infant", C53&lt;=11, "Child", C53&lt;=17, "Adolescent", C53&lt;=44, "Young Adult", C53&lt;=64, "Middle Aged", C53&lt;=84,"Young Old", C53&gt;=85,"Oldest Old")</f>
        <v>Young Old</v>
      </c>
      <c r="E53" t="s">
        <v>18</v>
      </c>
      <c r="F53" s="4">
        <v>45575</v>
      </c>
      <c r="G53" s="4">
        <v>45578</v>
      </c>
      <c r="H53" s="7">
        <f t="shared" si="0"/>
        <v>3</v>
      </c>
      <c r="I53" t="s">
        <v>23</v>
      </c>
      <c r="J53" t="s">
        <v>24</v>
      </c>
      <c r="K53" s="2">
        <v>5702.96</v>
      </c>
      <c r="L53" s="9">
        <v>0.8</v>
      </c>
      <c r="M53" s="15">
        <f t="shared" si="1"/>
        <v>4562.3680000000004</v>
      </c>
      <c r="N53" s="15">
        <f t="shared" si="2"/>
        <v>1140.5919999999996</v>
      </c>
      <c r="O53" t="s">
        <v>15</v>
      </c>
    </row>
    <row r="54" spans="1:15" hidden="1" x14ac:dyDescent="0.35">
      <c r="A54" t="s">
        <v>151</v>
      </c>
      <c r="B54" t="s">
        <v>152</v>
      </c>
      <c r="C54">
        <v>63</v>
      </c>
      <c r="D54" s="8" t="str" cm="1">
        <f t="array" ref="D54">_xlfn.IFS(C54&lt;=2, "Infant", C54&lt;=11, "Child", C54&lt;=17, "Adolescent", C54&lt;=44, "Young Adult", C54&lt;=64, "Middle Aged", C54&lt;=84,"Young Old", C54&gt;=85,"Oldest Old")</f>
        <v>Middle Aged</v>
      </c>
      <c r="E54" t="s">
        <v>12</v>
      </c>
      <c r="F54" s="4">
        <v>45905</v>
      </c>
      <c r="G54" s="4">
        <v>45912</v>
      </c>
      <c r="H54" s="7">
        <f t="shared" si="0"/>
        <v>7</v>
      </c>
      <c r="I54" t="s">
        <v>13</v>
      </c>
      <c r="J54" t="s">
        <v>19</v>
      </c>
      <c r="K54" s="2">
        <v>18049.650000000001</v>
      </c>
      <c r="L54" s="9">
        <v>0.8</v>
      </c>
      <c r="M54" s="15">
        <f t="shared" si="1"/>
        <v>14439.720000000001</v>
      </c>
      <c r="N54" s="15">
        <f t="shared" si="2"/>
        <v>3609.9300000000003</v>
      </c>
      <c r="O54" t="s">
        <v>15</v>
      </c>
    </row>
    <row r="55" spans="1:15" hidden="1" x14ac:dyDescent="0.35">
      <c r="A55" t="s">
        <v>153</v>
      </c>
      <c r="B55" t="s">
        <v>154</v>
      </c>
      <c r="C55">
        <v>59</v>
      </c>
      <c r="D55" s="8" t="str" cm="1">
        <f t="array" ref="D55">_xlfn.IFS(C55&lt;=2, "Infant", C55&lt;=11, "Child", C55&lt;=17, "Adolescent", C55&lt;=44, "Young Adult", C55&lt;=64, "Middle Aged", C55&lt;=84,"Young Old", C55&gt;=85,"Oldest Old")</f>
        <v>Middle Aged</v>
      </c>
      <c r="E55" t="s">
        <v>12</v>
      </c>
      <c r="F55" s="4">
        <v>45751</v>
      </c>
      <c r="G55" s="4">
        <v>45757</v>
      </c>
      <c r="H55" s="7">
        <f t="shared" si="0"/>
        <v>6</v>
      </c>
      <c r="I55" t="s">
        <v>13</v>
      </c>
      <c r="J55" t="s">
        <v>14</v>
      </c>
      <c r="K55" s="2">
        <v>16488.400000000001</v>
      </c>
      <c r="L55" s="9">
        <v>0.8</v>
      </c>
      <c r="M55" s="15">
        <f t="shared" si="1"/>
        <v>13190.720000000001</v>
      </c>
      <c r="N55" s="15">
        <f t="shared" si="2"/>
        <v>3297.6800000000003</v>
      </c>
      <c r="O55" t="s">
        <v>15</v>
      </c>
    </row>
    <row r="56" spans="1:15" hidden="1" x14ac:dyDescent="0.35">
      <c r="A56" t="s">
        <v>155</v>
      </c>
      <c r="B56" t="s">
        <v>156</v>
      </c>
      <c r="C56">
        <v>64</v>
      </c>
      <c r="D56" s="8" t="str" cm="1">
        <f t="array" ref="D56">_xlfn.IFS(C56&lt;=2, "Infant", C56&lt;=11, "Child", C56&lt;=17, "Adolescent", C56&lt;=44, "Young Adult", C56&lt;=64, "Middle Aged", C56&lt;=84,"Young Old", C56&gt;=85,"Oldest Old")</f>
        <v>Middle Aged</v>
      </c>
      <c r="E56" t="s">
        <v>18</v>
      </c>
      <c r="F56" s="4">
        <v>45662</v>
      </c>
      <c r="G56" s="4">
        <v>45670</v>
      </c>
      <c r="H56" s="7">
        <f t="shared" si="0"/>
        <v>8</v>
      </c>
      <c r="I56" t="s">
        <v>70</v>
      </c>
      <c r="J56" t="s">
        <v>157</v>
      </c>
      <c r="K56" s="2">
        <v>18217.14</v>
      </c>
      <c r="L56" s="9">
        <v>0.5</v>
      </c>
      <c r="M56" s="15">
        <f t="shared" si="1"/>
        <v>9108.57</v>
      </c>
      <c r="N56" s="15">
        <f t="shared" si="2"/>
        <v>9108.57</v>
      </c>
      <c r="O56" t="s">
        <v>25</v>
      </c>
    </row>
    <row r="57" spans="1:15" hidden="1" x14ac:dyDescent="0.35">
      <c r="A57" t="s">
        <v>158</v>
      </c>
      <c r="B57" t="s">
        <v>159</v>
      </c>
      <c r="C57">
        <v>60</v>
      </c>
      <c r="D57" s="8" t="str" cm="1">
        <f t="array" ref="D57">_xlfn.IFS(C57&lt;=2, "Infant", C57&lt;=11, "Child", C57&lt;=17, "Adolescent", C57&lt;=44, "Young Adult", C57&lt;=64, "Middle Aged", C57&lt;=84,"Young Old", C57&gt;=85,"Oldest Old")</f>
        <v>Middle Aged</v>
      </c>
      <c r="E57" t="s">
        <v>12</v>
      </c>
      <c r="F57" s="4">
        <v>45608</v>
      </c>
      <c r="G57" s="4">
        <v>45619</v>
      </c>
      <c r="H57" s="7">
        <f t="shared" si="0"/>
        <v>11</v>
      </c>
      <c r="I57" t="s">
        <v>60</v>
      </c>
      <c r="J57" t="s">
        <v>74</v>
      </c>
      <c r="K57" s="2">
        <v>16175.09</v>
      </c>
      <c r="L57" s="9">
        <v>0.8</v>
      </c>
      <c r="M57" s="15">
        <f t="shared" si="1"/>
        <v>12940.072</v>
      </c>
      <c r="N57" s="15">
        <f t="shared" si="2"/>
        <v>3235.018</v>
      </c>
      <c r="O57" t="s">
        <v>20</v>
      </c>
    </row>
    <row r="58" spans="1:15" hidden="1" x14ac:dyDescent="0.35">
      <c r="A58" t="s">
        <v>160</v>
      </c>
      <c r="B58" t="s">
        <v>161</v>
      </c>
      <c r="C58">
        <v>77</v>
      </c>
      <c r="D58" s="8" t="str" cm="1">
        <f t="array" ref="D58">_xlfn.IFS(C58&lt;=2, "Infant", C58&lt;=11, "Child", C58&lt;=17, "Adolescent", C58&lt;=44, "Young Adult", C58&lt;=64, "Middle Aged", C58&lt;=84,"Young Old", C58&gt;=85,"Oldest Old")</f>
        <v>Young Old</v>
      </c>
      <c r="E58" t="s">
        <v>18</v>
      </c>
      <c r="F58" s="4">
        <v>45372</v>
      </c>
      <c r="G58" s="4">
        <v>45380</v>
      </c>
      <c r="H58" s="7">
        <f t="shared" si="0"/>
        <v>8</v>
      </c>
      <c r="I58" t="s">
        <v>13</v>
      </c>
      <c r="J58" t="s">
        <v>14</v>
      </c>
      <c r="K58" s="2">
        <v>12858.55</v>
      </c>
      <c r="L58" s="9">
        <v>0.8</v>
      </c>
      <c r="M58" s="15">
        <f t="shared" si="1"/>
        <v>10286.84</v>
      </c>
      <c r="N58" s="15">
        <f t="shared" si="2"/>
        <v>2571.7099999999991</v>
      </c>
      <c r="O58" t="s">
        <v>20</v>
      </c>
    </row>
    <row r="59" spans="1:15" hidden="1" x14ac:dyDescent="0.35">
      <c r="A59" t="s">
        <v>162</v>
      </c>
      <c r="B59" t="s">
        <v>163</v>
      </c>
      <c r="C59">
        <v>29</v>
      </c>
      <c r="D59" s="8" t="str" cm="1">
        <f t="array" ref="D59">_xlfn.IFS(C59&lt;=2, "Infant", C59&lt;=11, "Child", C59&lt;=17, "Adolescent", C59&lt;=44, "Young Adult", C59&lt;=64, "Middle Aged", C59&lt;=84,"Young Old", C59&gt;=85,"Oldest Old")</f>
        <v>Young Adult</v>
      </c>
      <c r="E59" t="s">
        <v>12</v>
      </c>
      <c r="F59" s="4">
        <v>45782</v>
      </c>
      <c r="G59" s="4">
        <v>45796</v>
      </c>
      <c r="H59" s="7">
        <f t="shared" si="0"/>
        <v>14</v>
      </c>
      <c r="I59" t="s">
        <v>60</v>
      </c>
      <c r="J59" t="s">
        <v>74</v>
      </c>
      <c r="K59" s="2">
        <v>14617.11</v>
      </c>
      <c r="L59" s="9">
        <v>0</v>
      </c>
      <c r="M59" s="15">
        <f t="shared" si="1"/>
        <v>0</v>
      </c>
      <c r="N59" s="15">
        <f t="shared" si="2"/>
        <v>14617.11</v>
      </c>
      <c r="O59" t="s">
        <v>25</v>
      </c>
    </row>
    <row r="60" spans="1:15" hidden="1" x14ac:dyDescent="0.35">
      <c r="A60" t="s">
        <v>164</v>
      </c>
      <c r="B60" t="s">
        <v>119</v>
      </c>
      <c r="C60">
        <v>77</v>
      </c>
      <c r="D60" s="8" t="str" cm="1">
        <f t="array" ref="D60">_xlfn.IFS(C60&lt;=2, "Infant", C60&lt;=11, "Child", C60&lt;=17, "Adolescent", C60&lt;=44, "Young Adult", C60&lt;=64, "Middle Aged", C60&lt;=84,"Young Old", C60&gt;=85,"Oldest Old")</f>
        <v>Young Old</v>
      </c>
      <c r="E60" t="s">
        <v>12</v>
      </c>
      <c r="F60" s="4">
        <v>45331</v>
      </c>
      <c r="G60" s="4">
        <v>45338</v>
      </c>
      <c r="H60" s="7">
        <f t="shared" si="0"/>
        <v>7</v>
      </c>
      <c r="I60" t="s">
        <v>13</v>
      </c>
      <c r="J60" t="s">
        <v>165</v>
      </c>
      <c r="K60" s="2">
        <v>8848.16</v>
      </c>
      <c r="L60" s="9">
        <v>0.9</v>
      </c>
      <c r="M60" s="15">
        <f t="shared" si="1"/>
        <v>7963.3440000000001</v>
      </c>
      <c r="N60" s="15">
        <f t="shared" si="2"/>
        <v>884.8159999999998</v>
      </c>
      <c r="O60" t="s">
        <v>15</v>
      </c>
    </row>
    <row r="61" spans="1:15" hidden="1" x14ac:dyDescent="0.35">
      <c r="A61" t="s">
        <v>166</v>
      </c>
      <c r="B61" t="s">
        <v>89</v>
      </c>
      <c r="C61">
        <v>38</v>
      </c>
      <c r="D61" s="8" t="str" cm="1">
        <f t="array" ref="D61">_xlfn.IFS(C61&lt;=2, "Infant", C61&lt;=11, "Child", C61&lt;=17, "Adolescent", C61&lt;=44, "Young Adult", C61&lt;=64, "Middle Aged", C61&lt;=84,"Young Old", C61&gt;=85,"Oldest Old")</f>
        <v>Young Adult</v>
      </c>
      <c r="E61" t="s">
        <v>12</v>
      </c>
      <c r="F61" s="4">
        <v>45435</v>
      </c>
      <c r="G61" s="4">
        <v>45437</v>
      </c>
      <c r="H61" s="7">
        <f t="shared" si="0"/>
        <v>2</v>
      </c>
      <c r="I61" t="s">
        <v>23</v>
      </c>
      <c r="J61" t="s">
        <v>82</v>
      </c>
      <c r="K61" s="2">
        <v>4529.29</v>
      </c>
      <c r="L61" s="9">
        <v>0.6</v>
      </c>
      <c r="M61" s="15">
        <f t="shared" si="1"/>
        <v>2717.5740000000001</v>
      </c>
      <c r="N61" s="15">
        <f t="shared" si="2"/>
        <v>1811.7159999999999</v>
      </c>
      <c r="O61" t="s">
        <v>25</v>
      </c>
    </row>
    <row r="62" spans="1:15" hidden="1" x14ac:dyDescent="0.35">
      <c r="A62" t="s">
        <v>167</v>
      </c>
      <c r="B62" t="s">
        <v>168</v>
      </c>
      <c r="C62">
        <v>43</v>
      </c>
      <c r="D62" s="8" t="str" cm="1">
        <f t="array" ref="D62">_xlfn.IFS(C62&lt;=2, "Infant", C62&lt;=11, "Child", C62&lt;=17, "Adolescent", C62&lt;=44, "Young Adult", C62&lt;=64, "Middle Aged", C62&lt;=84,"Young Old", C62&gt;=85,"Oldest Old")</f>
        <v>Young Adult</v>
      </c>
      <c r="E62" t="s">
        <v>18</v>
      </c>
      <c r="F62" s="4">
        <v>45608</v>
      </c>
      <c r="G62" s="4">
        <v>45610</v>
      </c>
      <c r="H62" s="7">
        <f t="shared" si="0"/>
        <v>2</v>
      </c>
      <c r="I62" t="s">
        <v>31</v>
      </c>
      <c r="J62" t="s">
        <v>53</v>
      </c>
      <c r="K62" s="2">
        <v>1655.08</v>
      </c>
      <c r="L62" s="9">
        <v>0.8</v>
      </c>
      <c r="M62" s="15">
        <f t="shared" si="1"/>
        <v>1324.0640000000001</v>
      </c>
      <c r="N62" s="15">
        <f t="shared" si="2"/>
        <v>331.01599999999985</v>
      </c>
      <c r="O62" t="s">
        <v>15</v>
      </c>
    </row>
    <row r="63" spans="1:15" hidden="1" x14ac:dyDescent="0.35">
      <c r="A63" t="s">
        <v>169</v>
      </c>
      <c r="B63" t="s">
        <v>170</v>
      </c>
      <c r="C63">
        <v>16</v>
      </c>
      <c r="D63" s="8" t="str" cm="1">
        <f t="array" ref="D63">_xlfn.IFS(C63&lt;=2, "Infant", C63&lt;=11, "Child", C63&lt;=17, "Adolescent", C63&lt;=44, "Young Adult", C63&lt;=64, "Middle Aged", C63&lt;=84,"Young Old", C63&gt;=85,"Oldest Old")</f>
        <v>Adolescent</v>
      </c>
      <c r="E63" t="s">
        <v>12</v>
      </c>
      <c r="F63" s="4">
        <v>45776</v>
      </c>
      <c r="G63" s="4">
        <v>45777</v>
      </c>
      <c r="H63" s="7">
        <f t="shared" si="0"/>
        <v>1</v>
      </c>
      <c r="I63" t="s">
        <v>49</v>
      </c>
      <c r="J63" t="s">
        <v>120</v>
      </c>
      <c r="K63" s="2">
        <v>1165.3699999999999</v>
      </c>
      <c r="L63" s="9">
        <v>0.8</v>
      </c>
      <c r="M63" s="15">
        <f t="shared" si="1"/>
        <v>932.29599999999994</v>
      </c>
      <c r="N63" s="15">
        <f t="shared" si="2"/>
        <v>233.07399999999996</v>
      </c>
      <c r="O63" t="s">
        <v>20</v>
      </c>
    </row>
    <row r="64" spans="1:15" hidden="1" x14ac:dyDescent="0.35">
      <c r="A64" t="s">
        <v>171</v>
      </c>
      <c r="B64" t="s">
        <v>172</v>
      </c>
      <c r="C64">
        <v>47</v>
      </c>
      <c r="D64" s="8" t="str" cm="1">
        <f t="array" ref="D64">_xlfn.IFS(C64&lt;=2, "Infant", C64&lt;=11, "Child", C64&lt;=17, "Adolescent", C64&lt;=44, "Young Adult", C64&lt;=64, "Middle Aged", C64&lt;=84,"Young Old", C64&gt;=85,"Oldest Old")</f>
        <v>Middle Aged</v>
      </c>
      <c r="E64" t="s">
        <v>18</v>
      </c>
      <c r="F64" s="4">
        <v>45771</v>
      </c>
      <c r="G64" s="4">
        <v>45775</v>
      </c>
      <c r="H64" s="7">
        <f t="shared" si="0"/>
        <v>4</v>
      </c>
      <c r="I64" t="s">
        <v>13</v>
      </c>
      <c r="J64" t="s">
        <v>165</v>
      </c>
      <c r="K64" s="2">
        <v>5020.34</v>
      </c>
      <c r="L64" s="9">
        <v>0.8</v>
      </c>
      <c r="M64" s="15">
        <f t="shared" si="1"/>
        <v>4016.2720000000004</v>
      </c>
      <c r="N64" s="15">
        <f t="shared" si="2"/>
        <v>1004.0679999999998</v>
      </c>
      <c r="O64" t="s">
        <v>15</v>
      </c>
    </row>
    <row r="65" spans="1:15" hidden="1" x14ac:dyDescent="0.35">
      <c r="A65" t="s">
        <v>173</v>
      </c>
      <c r="B65" t="s">
        <v>113</v>
      </c>
      <c r="C65">
        <v>5</v>
      </c>
      <c r="D65" s="8" t="str" cm="1">
        <f t="array" ref="D65">_xlfn.IFS(C65&lt;=2, "Infant", C65&lt;=11, "Child", C65&lt;=17, "Adolescent", C65&lt;=44, "Young Adult", C65&lt;=64, "Middle Aged", C65&lt;=84,"Young Old", C65&gt;=85,"Oldest Old")</f>
        <v>Child</v>
      </c>
      <c r="E65" t="s">
        <v>18</v>
      </c>
      <c r="F65" s="4">
        <v>45405</v>
      </c>
      <c r="G65" s="4">
        <v>45408</v>
      </c>
      <c r="H65" s="7">
        <f t="shared" si="0"/>
        <v>3</v>
      </c>
      <c r="I65" t="s">
        <v>49</v>
      </c>
      <c r="J65" t="s">
        <v>123</v>
      </c>
      <c r="K65" s="2">
        <v>4344.45</v>
      </c>
      <c r="L65" s="9">
        <v>1</v>
      </c>
      <c r="M65" s="15">
        <f t="shared" si="1"/>
        <v>4344.45</v>
      </c>
      <c r="N65" s="15">
        <f t="shared" si="2"/>
        <v>0</v>
      </c>
      <c r="O65" t="s">
        <v>15</v>
      </c>
    </row>
    <row r="66" spans="1:15" hidden="1" x14ac:dyDescent="0.35">
      <c r="A66" t="s">
        <v>174</v>
      </c>
      <c r="B66" t="s">
        <v>175</v>
      </c>
      <c r="C66">
        <v>40</v>
      </c>
      <c r="D66" s="8" t="str" cm="1">
        <f t="array" ref="D66">_xlfn.IFS(C66&lt;=2, "Infant", C66&lt;=11, "Child", C66&lt;=17, "Adolescent", C66&lt;=44, "Young Adult", C66&lt;=64, "Middle Aged", C66&lt;=84,"Young Old", C66&gt;=85,"Oldest Old")</f>
        <v>Young Adult</v>
      </c>
      <c r="E66" t="s">
        <v>18</v>
      </c>
      <c r="F66" s="4">
        <v>45942</v>
      </c>
      <c r="G66" s="4">
        <v>45951</v>
      </c>
      <c r="H66" s="7">
        <f t="shared" si="0"/>
        <v>9</v>
      </c>
      <c r="I66" t="s">
        <v>13</v>
      </c>
      <c r="J66" t="s">
        <v>165</v>
      </c>
      <c r="K66" s="2">
        <v>11900.88</v>
      </c>
      <c r="L66" s="9">
        <v>0.8</v>
      </c>
      <c r="M66" s="15">
        <f t="shared" si="1"/>
        <v>9520.7039999999997</v>
      </c>
      <c r="N66" s="15">
        <f t="shared" si="2"/>
        <v>2380.1759999999995</v>
      </c>
      <c r="O66" t="s">
        <v>20</v>
      </c>
    </row>
    <row r="67" spans="1:15" hidden="1" x14ac:dyDescent="0.35">
      <c r="A67" t="s">
        <v>176</v>
      </c>
      <c r="B67" t="s">
        <v>177</v>
      </c>
      <c r="C67">
        <v>67</v>
      </c>
      <c r="D67" s="8" t="str" cm="1">
        <f t="array" ref="D67">_xlfn.IFS(C67&lt;=2, "Infant", C67&lt;=11, "Child", C67&lt;=17, "Adolescent", C67&lt;=44, "Young Adult", C67&lt;=64, "Middle Aged", C67&lt;=84,"Young Old", C67&gt;=85,"Oldest Old")</f>
        <v>Young Old</v>
      </c>
      <c r="E67" t="s">
        <v>12</v>
      </c>
      <c r="F67" s="4">
        <v>45681</v>
      </c>
      <c r="G67" s="4">
        <v>45690</v>
      </c>
      <c r="H67" s="7">
        <f t="shared" ref="H67:H130" si="3">DATEDIF(F67,G67,"D")</f>
        <v>9</v>
      </c>
      <c r="I67" t="s">
        <v>70</v>
      </c>
      <c r="J67" t="s">
        <v>94</v>
      </c>
      <c r="K67" s="2">
        <v>12380.25</v>
      </c>
      <c r="L67" s="9">
        <v>0.8</v>
      </c>
      <c r="M67" s="15">
        <f t="shared" ref="M67:M130" si="4">L67*K67</f>
        <v>9904.2000000000007</v>
      </c>
      <c r="N67" s="15">
        <f t="shared" ref="N67:N130" si="5">K67-M67</f>
        <v>2476.0499999999993</v>
      </c>
      <c r="O67" t="s">
        <v>15</v>
      </c>
    </row>
    <row r="68" spans="1:15" hidden="1" x14ac:dyDescent="0.35">
      <c r="A68" t="s">
        <v>178</v>
      </c>
      <c r="B68" t="s">
        <v>179</v>
      </c>
      <c r="C68">
        <v>63</v>
      </c>
      <c r="D68" s="8" t="str" cm="1">
        <f t="array" ref="D68">_xlfn.IFS(C68&lt;=2, "Infant", C68&lt;=11, "Child", C68&lt;=17, "Adolescent", C68&lt;=44, "Young Adult", C68&lt;=64, "Middle Aged", C68&lt;=84,"Young Old", C68&gt;=85,"Oldest Old")</f>
        <v>Middle Aged</v>
      </c>
      <c r="E68" t="s">
        <v>12</v>
      </c>
      <c r="F68" s="4">
        <v>45986</v>
      </c>
      <c r="G68" s="4">
        <v>45990</v>
      </c>
      <c r="H68" s="7">
        <f t="shared" si="3"/>
        <v>4</v>
      </c>
      <c r="I68" t="s">
        <v>13</v>
      </c>
      <c r="J68" t="s">
        <v>111</v>
      </c>
      <c r="K68" s="2">
        <v>9509.74</v>
      </c>
      <c r="L68" s="9">
        <v>0.9</v>
      </c>
      <c r="M68" s="15">
        <f t="shared" si="4"/>
        <v>8558.7659999999996</v>
      </c>
      <c r="N68" s="15">
        <f t="shared" si="5"/>
        <v>950.97400000000016</v>
      </c>
      <c r="O68" t="s">
        <v>15</v>
      </c>
    </row>
    <row r="69" spans="1:15" hidden="1" x14ac:dyDescent="0.35">
      <c r="A69" t="s">
        <v>180</v>
      </c>
      <c r="B69" t="s">
        <v>181</v>
      </c>
      <c r="C69">
        <v>60</v>
      </c>
      <c r="D69" s="8" t="str" cm="1">
        <f t="array" ref="D69">_xlfn.IFS(C69&lt;=2, "Infant", C69&lt;=11, "Child", C69&lt;=17, "Adolescent", C69&lt;=44, "Young Adult", C69&lt;=64, "Middle Aged", C69&lt;=84,"Young Old", C69&gt;=85,"Oldest Old")</f>
        <v>Middle Aged</v>
      </c>
      <c r="E69" t="s">
        <v>18</v>
      </c>
      <c r="F69" s="4">
        <v>45731</v>
      </c>
      <c r="G69" s="4">
        <v>45735</v>
      </c>
      <c r="H69" s="7">
        <f t="shared" si="3"/>
        <v>4</v>
      </c>
      <c r="I69" t="s">
        <v>70</v>
      </c>
      <c r="J69" t="s">
        <v>157</v>
      </c>
      <c r="K69" s="2">
        <v>6803.88</v>
      </c>
      <c r="L69" s="9">
        <v>0.8</v>
      </c>
      <c r="M69" s="15">
        <f t="shared" si="4"/>
        <v>5443.1040000000003</v>
      </c>
      <c r="N69" s="15">
        <f t="shared" si="5"/>
        <v>1360.7759999999998</v>
      </c>
      <c r="O69" t="s">
        <v>15</v>
      </c>
    </row>
    <row r="70" spans="1:15" hidden="1" x14ac:dyDescent="0.35">
      <c r="A70" t="s">
        <v>182</v>
      </c>
      <c r="B70" t="s">
        <v>183</v>
      </c>
      <c r="C70">
        <v>67</v>
      </c>
      <c r="D70" s="8" t="str" cm="1">
        <f t="array" ref="D70">_xlfn.IFS(C70&lt;=2, "Infant", C70&lt;=11, "Child", C70&lt;=17, "Adolescent", C70&lt;=44, "Young Adult", C70&lt;=64, "Middle Aged", C70&lt;=84,"Young Old", C70&gt;=85,"Oldest Old")</f>
        <v>Young Old</v>
      </c>
      <c r="E70" t="s">
        <v>18</v>
      </c>
      <c r="F70" s="4">
        <v>45436</v>
      </c>
      <c r="G70" s="4">
        <v>45447</v>
      </c>
      <c r="H70" s="7">
        <f t="shared" si="3"/>
        <v>11</v>
      </c>
      <c r="I70" t="s">
        <v>60</v>
      </c>
      <c r="J70" t="s">
        <v>74</v>
      </c>
      <c r="K70" s="2">
        <v>23530.58</v>
      </c>
      <c r="L70" s="9">
        <v>0.8</v>
      </c>
      <c r="M70" s="15">
        <f t="shared" si="4"/>
        <v>18824.464000000004</v>
      </c>
      <c r="N70" s="15">
        <f t="shared" si="5"/>
        <v>4706.1159999999982</v>
      </c>
      <c r="O70" t="s">
        <v>25</v>
      </c>
    </row>
    <row r="71" spans="1:15" hidden="1" x14ac:dyDescent="0.35">
      <c r="A71" t="s">
        <v>184</v>
      </c>
      <c r="B71" t="s">
        <v>185</v>
      </c>
      <c r="C71">
        <v>83</v>
      </c>
      <c r="D71" s="8" t="str" cm="1">
        <f t="array" ref="D71">_xlfn.IFS(C71&lt;=2, "Infant", C71&lt;=11, "Child", C71&lt;=17, "Adolescent", C71&lt;=44, "Young Adult", C71&lt;=64, "Middle Aged", C71&lt;=84,"Young Old", C71&gt;=85,"Oldest Old")</f>
        <v>Young Old</v>
      </c>
      <c r="E71" t="s">
        <v>12</v>
      </c>
      <c r="F71" s="4">
        <v>45752</v>
      </c>
      <c r="G71" s="4">
        <v>45753</v>
      </c>
      <c r="H71" s="7">
        <f t="shared" si="3"/>
        <v>1</v>
      </c>
      <c r="I71" t="s">
        <v>23</v>
      </c>
      <c r="J71" t="s">
        <v>41</v>
      </c>
      <c r="K71" s="2">
        <v>1108.28</v>
      </c>
      <c r="L71" s="9">
        <v>0.5</v>
      </c>
      <c r="M71" s="15">
        <f t="shared" si="4"/>
        <v>554.14</v>
      </c>
      <c r="N71" s="15">
        <f t="shared" si="5"/>
        <v>554.14</v>
      </c>
      <c r="O71" t="s">
        <v>15</v>
      </c>
    </row>
    <row r="72" spans="1:15" hidden="1" x14ac:dyDescent="0.35">
      <c r="A72" t="s">
        <v>186</v>
      </c>
      <c r="B72" t="s">
        <v>187</v>
      </c>
      <c r="C72">
        <v>69</v>
      </c>
      <c r="D72" s="8" t="str" cm="1">
        <f t="array" ref="D72">_xlfn.IFS(C72&lt;=2, "Infant", C72&lt;=11, "Child", C72&lt;=17, "Adolescent", C72&lt;=44, "Young Adult", C72&lt;=64, "Middle Aged", C72&lt;=84,"Young Old", C72&gt;=85,"Oldest Old")</f>
        <v>Young Old</v>
      </c>
      <c r="E72" t="s">
        <v>12</v>
      </c>
      <c r="F72" s="4">
        <v>46013</v>
      </c>
      <c r="G72" s="4">
        <v>46020</v>
      </c>
      <c r="H72" s="7">
        <f t="shared" si="3"/>
        <v>7</v>
      </c>
      <c r="I72" t="s">
        <v>13</v>
      </c>
      <c r="J72" t="s">
        <v>38</v>
      </c>
      <c r="K72" s="2">
        <v>15858.97</v>
      </c>
      <c r="L72" s="9">
        <v>0.8</v>
      </c>
      <c r="M72" s="15">
        <f t="shared" si="4"/>
        <v>12687.175999999999</v>
      </c>
      <c r="N72" s="15">
        <f t="shared" si="5"/>
        <v>3171.7939999999999</v>
      </c>
      <c r="O72" t="s">
        <v>15</v>
      </c>
    </row>
    <row r="73" spans="1:15" hidden="1" x14ac:dyDescent="0.35">
      <c r="A73" t="s">
        <v>188</v>
      </c>
      <c r="B73" t="s">
        <v>189</v>
      </c>
      <c r="C73">
        <v>66</v>
      </c>
      <c r="D73" s="8" t="str" cm="1">
        <f t="array" ref="D73">_xlfn.IFS(C73&lt;=2, "Infant", C73&lt;=11, "Child", C73&lt;=17, "Adolescent", C73&lt;=44, "Young Adult", C73&lt;=64, "Middle Aged", C73&lt;=84,"Young Old", C73&gt;=85,"Oldest Old")</f>
        <v>Young Old</v>
      </c>
      <c r="E73" t="s">
        <v>12</v>
      </c>
      <c r="F73" s="4">
        <v>45676</v>
      </c>
      <c r="G73" s="4">
        <v>45690</v>
      </c>
      <c r="H73" s="7">
        <f t="shared" si="3"/>
        <v>14</v>
      </c>
      <c r="I73" t="s">
        <v>60</v>
      </c>
      <c r="J73" t="s">
        <v>97</v>
      </c>
      <c r="K73" s="2">
        <v>24022.14</v>
      </c>
      <c r="L73" s="9">
        <v>0.8</v>
      </c>
      <c r="M73" s="15">
        <f t="shared" si="4"/>
        <v>19217.712</v>
      </c>
      <c r="N73" s="15">
        <f t="shared" si="5"/>
        <v>4804.4279999999999</v>
      </c>
      <c r="O73" t="s">
        <v>25</v>
      </c>
    </row>
    <row r="74" spans="1:15" hidden="1" x14ac:dyDescent="0.35">
      <c r="A74" t="s">
        <v>190</v>
      </c>
      <c r="B74" t="s">
        <v>191</v>
      </c>
      <c r="C74">
        <v>29</v>
      </c>
      <c r="D74" s="8" t="str" cm="1">
        <f t="array" ref="D74">_xlfn.IFS(C74&lt;=2, "Infant", C74&lt;=11, "Child", C74&lt;=17, "Adolescent", C74&lt;=44, "Young Adult", C74&lt;=64, "Middle Aged", C74&lt;=84,"Young Old", C74&gt;=85,"Oldest Old")</f>
        <v>Young Adult</v>
      </c>
      <c r="E74" t="s">
        <v>18</v>
      </c>
      <c r="F74" s="4">
        <v>45586</v>
      </c>
      <c r="G74" s="4">
        <v>45598</v>
      </c>
      <c r="H74" s="7">
        <f t="shared" si="3"/>
        <v>12</v>
      </c>
      <c r="I74" t="s">
        <v>60</v>
      </c>
      <c r="J74" t="s">
        <v>97</v>
      </c>
      <c r="K74" s="2">
        <v>13601.98</v>
      </c>
      <c r="L74" s="9">
        <v>0.8</v>
      </c>
      <c r="M74" s="15">
        <f t="shared" si="4"/>
        <v>10881.584000000001</v>
      </c>
      <c r="N74" s="15">
        <f t="shared" si="5"/>
        <v>2720.3959999999988</v>
      </c>
      <c r="O74" t="s">
        <v>20</v>
      </c>
    </row>
    <row r="75" spans="1:15" hidden="1" x14ac:dyDescent="0.35">
      <c r="A75" t="s">
        <v>192</v>
      </c>
      <c r="B75" t="s">
        <v>193</v>
      </c>
      <c r="C75">
        <v>48</v>
      </c>
      <c r="D75" s="8" t="str" cm="1">
        <f t="array" ref="D75">_xlfn.IFS(C75&lt;=2, "Infant", C75&lt;=11, "Child", C75&lt;=17, "Adolescent", C75&lt;=44, "Young Adult", C75&lt;=64, "Middle Aged", C75&lt;=84,"Young Old", C75&gt;=85,"Oldest Old")</f>
        <v>Middle Aged</v>
      </c>
      <c r="E75" t="s">
        <v>12</v>
      </c>
      <c r="F75" s="4">
        <v>45405</v>
      </c>
      <c r="G75" s="4">
        <v>45414</v>
      </c>
      <c r="H75" s="7">
        <f t="shared" si="3"/>
        <v>9</v>
      </c>
      <c r="I75" t="s">
        <v>70</v>
      </c>
      <c r="J75" t="s">
        <v>194</v>
      </c>
      <c r="K75" s="2">
        <v>11054.91</v>
      </c>
      <c r="L75" s="9">
        <v>0.8</v>
      </c>
      <c r="M75" s="15">
        <f t="shared" si="4"/>
        <v>8843.9279999999999</v>
      </c>
      <c r="N75" s="15">
        <f t="shared" si="5"/>
        <v>2210.982</v>
      </c>
      <c r="O75" t="s">
        <v>15</v>
      </c>
    </row>
    <row r="76" spans="1:15" hidden="1" x14ac:dyDescent="0.35">
      <c r="A76" t="s">
        <v>195</v>
      </c>
      <c r="B76" t="s">
        <v>196</v>
      </c>
      <c r="C76">
        <v>71</v>
      </c>
      <c r="D76" s="8" t="str" cm="1">
        <f t="array" ref="D76">_xlfn.IFS(C76&lt;=2, "Infant", C76&lt;=11, "Child", C76&lt;=17, "Adolescent", C76&lt;=44, "Young Adult", C76&lt;=64, "Middle Aged", C76&lt;=84,"Young Old", C76&gt;=85,"Oldest Old")</f>
        <v>Young Old</v>
      </c>
      <c r="E76" t="s">
        <v>12</v>
      </c>
      <c r="F76" s="4">
        <v>45986</v>
      </c>
      <c r="G76" s="4">
        <v>45989</v>
      </c>
      <c r="H76" s="7">
        <f t="shared" si="3"/>
        <v>3</v>
      </c>
      <c r="I76" t="s">
        <v>23</v>
      </c>
      <c r="J76" t="s">
        <v>24</v>
      </c>
      <c r="K76" s="2">
        <v>4292.29</v>
      </c>
      <c r="L76" s="9">
        <v>0.7</v>
      </c>
      <c r="M76" s="15">
        <f t="shared" si="4"/>
        <v>3004.6029999999996</v>
      </c>
      <c r="N76" s="15">
        <f t="shared" si="5"/>
        <v>1287.6870000000004</v>
      </c>
      <c r="O76" t="s">
        <v>15</v>
      </c>
    </row>
    <row r="77" spans="1:15" hidden="1" x14ac:dyDescent="0.35">
      <c r="A77" t="s">
        <v>197</v>
      </c>
      <c r="B77" t="s">
        <v>198</v>
      </c>
      <c r="C77">
        <v>58</v>
      </c>
      <c r="D77" s="8" t="str" cm="1">
        <f t="array" ref="D77">_xlfn.IFS(C77&lt;=2, "Infant", C77&lt;=11, "Child", C77&lt;=17, "Adolescent", C77&lt;=44, "Young Adult", C77&lt;=64, "Middle Aged", C77&lt;=84,"Young Old", C77&gt;=85,"Oldest Old")</f>
        <v>Middle Aged</v>
      </c>
      <c r="E77" t="s">
        <v>18</v>
      </c>
      <c r="F77" s="4">
        <v>45969</v>
      </c>
      <c r="G77" s="4">
        <v>45978</v>
      </c>
      <c r="H77" s="7">
        <f t="shared" si="3"/>
        <v>9</v>
      </c>
      <c r="I77" t="s">
        <v>13</v>
      </c>
      <c r="J77" t="s">
        <v>165</v>
      </c>
      <c r="K77" s="2">
        <v>15148.04</v>
      </c>
      <c r="L77" s="9">
        <v>1</v>
      </c>
      <c r="M77" s="15">
        <f t="shared" si="4"/>
        <v>15148.04</v>
      </c>
      <c r="N77" s="15">
        <f t="shared" si="5"/>
        <v>0</v>
      </c>
      <c r="O77" t="s">
        <v>15</v>
      </c>
    </row>
    <row r="78" spans="1:15" hidden="1" x14ac:dyDescent="0.35">
      <c r="A78" t="s">
        <v>199</v>
      </c>
      <c r="B78" t="s">
        <v>200</v>
      </c>
      <c r="C78">
        <v>31</v>
      </c>
      <c r="D78" s="8" t="str" cm="1">
        <f t="array" ref="D78">_xlfn.IFS(C78&lt;=2, "Infant", C78&lt;=11, "Child", C78&lt;=17, "Adolescent", C78&lt;=44, "Young Adult", C78&lt;=64, "Middle Aged", C78&lt;=84,"Young Old", C78&gt;=85,"Oldest Old")</f>
        <v>Young Adult</v>
      </c>
      <c r="E78" t="s">
        <v>18</v>
      </c>
      <c r="F78" s="4">
        <v>45748</v>
      </c>
      <c r="G78" s="4">
        <v>45755</v>
      </c>
      <c r="H78" s="7">
        <f t="shared" si="3"/>
        <v>7</v>
      </c>
      <c r="I78" t="s">
        <v>70</v>
      </c>
      <c r="J78" t="s">
        <v>157</v>
      </c>
      <c r="K78" s="2">
        <v>12486.34</v>
      </c>
      <c r="L78" s="9">
        <v>0.6</v>
      </c>
      <c r="M78" s="15">
        <f t="shared" si="4"/>
        <v>7491.8040000000001</v>
      </c>
      <c r="N78" s="15">
        <f t="shared" si="5"/>
        <v>4994.5360000000001</v>
      </c>
      <c r="O78" t="s">
        <v>20</v>
      </c>
    </row>
    <row r="79" spans="1:15" hidden="1" x14ac:dyDescent="0.35">
      <c r="A79" t="s">
        <v>201</v>
      </c>
      <c r="B79" t="s">
        <v>116</v>
      </c>
      <c r="C79">
        <v>6</v>
      </c>
      <c r="D79" s="8" t="str" cm="1">
        <f t="array" ref="D79">_xlfn.IFS(C79&lt;=2, "Infant", C79&lt;=11, "Child", C79&lt;=17, "Adolescent", C79&lt;=44, "Young Adult", C79&lt;=64, "Middle Aged", C79&lt;=84,"Young Old", C79&gt;=85,"Oldest Old")</f>
        <v>Child</v>
      </c>
      <c r="E79" t="s">
        <v>18</v>
      </c>
      <c r="F79" s="4">
        <v>45986</v>
      </c>
      <c r="G79" s="4">
        <v>45991</v>
      </c>
      <c r="H79" s="7">
        <f t="shared" si="3"/>
        <v>5</v>
      </c>
      <c r="I79" t="s">
        <v>49</v>
      </c>
      <c r="J79" t="s">
        <v>123</v>
      </c>
      <c r="K79" s="2">
        <v>6755.47</v>
      </c>
      <c r="L79" s="9">
        <v>0.9</v>
      </c>
      <c r="M79" s="15">
        <f t="shared" si="4"/>
        <v>6079.9230000000007</v>
      </c>
      <c r="N79" s="15">
        <f t="shared" si="5"/>
        <v>675.54699999999957</v>
      </c>
      <c r="O79" t="s">
        <v>15</v>
      </c>
    </row>
    <row r="80" spans="1:15" hidden="1" x14ac:dyDescent="0.35">
      <c r="A80" t="s">
        <v>202</v>
      </c>
      <c r="B80" t="s">
        <v>203</v>
      </c>
      <c r="C80">
        <v>54</v>
      </c>
      <c r="D80" s="8" t="str" cm="1">
        <f t="array" ref="D80">_xlfn.IFS(C80&lt;=2, "Infant", C80&lt;=11, "Child", C80&lt;=17, "Adolescent", C80&lt;=44, "Young Adult", C80&lt;=64, "Middle Aged", C80&lt;=84,"Young Old", C80&gt;=85,"Oldest Old")</f>
        <v>Middle Aged</v>
      </c>
      <c r="E80" t="s">
        <v>18</v>
      </c>
      <c r="F80" s="4">
        <v>45903</v>
      </c>
      <c r="G80" s="4">
        <v>45905</v>
      </c>
      <c r="H80" s="7">
        <f t="shared" si="3"/>
        <v>2</v>
      </c>
      <c r="I80" t="s">
        <v>23</v>
      </c>
      <c r="J80" t="s">
        <v>204</v>
      </c>
      <c r="K80" s="2">
        <v>2919.13</v>
      </c>
      <c r="L80" s="9">
        <v>1</v>
      </c>
      <c r="M80" s="15">
        <f t="shared" si="4"/>
        <v>2919.13</v>
      </c>
      <c r="N80" s="15">
        <f t="shared" si="5"/>
        <v>0</v>
      </c>
      <c r="O80" t="s">
        <v>15</v>
      </c>
    </row>
    <row r="81" spans="1:15" hidden="1" x14ac:dyDescent="0.35">
      <c r="A81" t="s">
        <v>205</v>
      </c>
      <c r="B81" t="s">
        <v>206</v>
      </c>
      <c r="C81">
        <v>40</v>
      </c>
      <c r="D81" s="8" t="str" cm="1">
        <f t="array" ref="D81">_xlfn.IFS(C81&lt;=2, "Infant", C81&lt;=11, "Child", C81&lt;=17, "Adolescent", C81&lt;=44, "Young Adult", C81&lt;=64, "Middle Aged", C81&lt;=84,"Young Old", C81&gt;=85,"Oldest Old")</f>
        <v>Young Adult</v>
      </c>
      <c r="E81" t="s">
        <v>18</v>
      </c>
      <c r="F81" s="4">
        <v>45843</v>
      </c>
      <c r="G81" s="4">
        <v>45857</v>
      </c>
      <c r="H81" s="7">
        <f t="shared" si="3"/>
        <v>14</v>
      </c>
      <c r="I81" t="s">
        <v>60</v>
      </c>
      <c r="J81" t="s">
        <v>74</v>
      </c>
      <c r="K81" s="2">
        <v>30241.53</v>
      </c>
      <c r="L81" s="9">
        <v>1</v>
      </c>
      <c r="M81" s="15">
        <f t="shared" si="4"/>
        <v>30241.53</v>
      </c>
      <c r="N81" s="15">
        <f t="shared" si="5"/>
        <v>0</v>
      </c>
      <c r="O81" t="s">
        <v>15</v>
      </c>
    </row>
    <row r="82" spans="1:15" hidden="1" x14ac:dyDescent="0.35">
      <c r="A82" t="s">
        <v>207</v>
      </c>
      <c r="B82" t="s">
        <v>208</v>
      </c>
      <c r="C82">
        <v>70</v>
      </c>
      <c r="D82" s="8" t="str" cm="1">
        <f t="array" ref="D82">_xlfn.IFS(C82&lt;=2, "Infant", C82&lt;=11, "Child", C82&lt;=17, "Adolescent", C82&lt;=44, "Young Adult", C82&lt;=64, "Middle Aged", C82&lt;=84,"Young Old", C82&gt;=85,"Oldest Old")</f>
        <v>Young Old</v>
      </c>
      <c r="E82" t="s">
        <v>18</v>
      </c>
      <c r="F82" s="4">
        <v>45483</v>
      </c>
      <c r="G82" s="4">
        <v>45490</v>
      </c>
      <c r="H82" s="7">
        <f t="shared" si="3"/>
        <v>7</v>
      </c>
      <c r="I82" t="s">
        <v>13</v>
      </c>
      <c r="J82" t="s">
        <v>111</v>
      </c>
      <c r="K82" s="2">
        <v>12489.15</v>
      </c>
      <c r="L82" s="9">
        <v>0</v>
      </c>
      <c r="M82" s="15">
        <f t="shared" si="4"/>
        <v>0</v>
      </c>
      <c r="N82" s="15">
        <f t="shared" si="5"/>
        <v>12489.15</v>
      </c>
      <c r="O82" t="s">
        <v>20</v>
      </c>
    </row>
    <row r="83" spans="1:15" hidden="1" x14ac:dyDescent="0.35">
      <c r="A83" t="s">
        <v>209</v>
      </c>
      <c r="B83" t="s">
        <v>210</v>
      </c>
      <c r="C83">
        <v>34</v>
      </c>
      <c r="D83" s="8" t="str" cm="1">
        <f t="array" ref="D83">_xlfn.IFS(C83&lt;=2, "Infant", C83&lt;=11, "Child", C83&lt;=17, "Adolescent", C83&lt;=44, "Young Adult", C83&lt;=64, "Middle Aged", C83&lt;=84,"Young Old", C83&gt;=85,"Oldest Old")</f>
        <v>Young Adult</v>
      </c>
      <c r="E83" t="s">
        <v>18</v>
      </c>
      <c r="F83" s="4">
        <v>45323</v>
      </c>
      <c r="G83" s="4">
        <v>45329</v>
      </c>
      <c r="H83" s="7">
        <f t="shared" si="3"/>
        <v>6</v>
      </c>
      <c r="I83" t="s">
        <v>60</v>
      </c>
      <c r="J83" t="s">
        <v>133</v>
      </c>
      <c r="K83" s="2">
        <v>12813.71</v>
      </c>
      <c r="L83" s="9">
        <v>0.7</v>
      </c>
      <c r="M83" s="15">
        <f t="shared" si="4"/>
        <v>8969.5969999999979</v>
      </c>
      <c r="N83" s="15">
        <f t="shared" si="5"/>
        <v>3844.1130000000012</v>
      </c>
      <c r="O83" t="s">
        <v>15</v>
      </c>
    </row>
    <row r="84" spans="1:15" hidden="1" x14ac:dyDescent="0.35">
      <c r="A84" t="s">
        <v>211</v>
      </c>
      <c r="B84" t="s">
        <v>212</v>
      </c>
      <c r="C84">
        <v>62</v>
      </c>
      <c r="D84" s="8" t="str" cm="1">
        <f t="array" ref="D84">_xlfn.IFS(C84&lt;=2, "Infant", C84&lt;=11, "Child", C84&lt;=17, "Adolescent", C84&lt;=44, "Young Adult", C84&lt;=64, "Middle Aged", C84&lt;=84,"Young Old", C84&gt;=85,"Oldest Old")</f>
        <v>Middle Aged</v>
      </c>
      <c r="E84" t="s">
        <v>18</v>
      </c>
      <c r="F84" s="4">
        <v>45408</v>
      </c>
      <c r="G84" s="4">
        <v>45413</v>
      </c>
      <c r="H84" s="7">
        <f t="shared" si="3"/>
        <v>5</v>
      </c>
      <c r="I84" t="s">
        <v>60</v>
      </c>
      <c r="J84" t="s">
        <v>133</v>
      </c>
      <c r="K84" s="2">
        <v>13205.04</v>
      </c>
      <c r="L84" s="9">
        <v>0.7</v>
      </c>
      <c r="M84" s="15">
        <f t="shared" si="4"/>
        <v>9243.5280000000002</v>
      </c>
      <c r="N84" s="15">
        <f t="shared" si="5"/>
        <v>3961.5120000000006</v>
      </c>
      <c r="O84" t="s">
        <v>15</v>
      </c>
    </row>
    <row r="85" spans="1:15" x14ac:dyDescent="0.35">
      <c r="A85" t="s">
        <v>213</v>
      </c>
      <c r="B85" t="s">
        <v>214</v>
      </c>
      <c r="C85">
        <v>83</v>
      </c>
      <c r="D85" s="8" t="str" cm="1">
        <f t="array" ref="D85">_xlfn.IFS(C85&lt;=2, "Infant", C85&lt;=11, "Child", C85&lt;=17, "Adolescent", C85&lt;=44, "Young Adult", C85&lt;=64, "Middle Aged", C85&lt;=84,"Young Old", C85&gt;=85,"Oldest Old")</f>
        <v>Young Old</v>
      </c>
      <c r="E85" t="s">
        <v>12</v>
      </c>
      <c r="F85" s="4">
        <v>46013</v>
      </c>
      <c r="G85" s="4">
        <v>46020</v>
      </c>
      <c r="H85" s="7">
        <f t="shared" si="3"/>
        <v>7</v>
      </c>
      <c r="I85" t="s">
        <v>31</v>
      </c>
      <c r="J85" t="s">
        <v>32</v>
      </c>
      <c r="K85" s="2">
        <v>3620.28</v>
      </c>
      <c r="L85" s="9">
        <v>0.8</v>
      </c>
      <c r="M85" s="15">
        <f t="shared" si="4"/>
        <v>2896.2240000000002</v>
      </c>
      <c r="N85" s="15">
        <f t="shared" si="5"/>
        <v>724.05600000000004</v>
      </c>
      <c r="O85" t="s">
        <v>15</v>
      </c>
    </row>
    <row r="86" spans="1:15" hidden="1" x14ac:dyDescent="0.35">
      <c r="A86" t="s">
        <v>215</v>
      </c>
      <c r="B86" t="s">
        <v>216</v>
      </c>
      <c r="C86">
        <v>76</v>
      </c>
      <c r="D86" s="8" t="str" cm="1">
        <f t="array" ref="D86">_xlfn.IFS(C86&lt;=2, "Infant", C86&lt;=11, "Child", C86&lt;=17, "Adolescent", C86&lt;=44, "Young Adult", C86&lt;=64, "Middle Aged", C86&lt;=84,"Young Old", C86&gt;=85,"Oldest Old")</f>
        <v>Young Old</v>
      </c>
      <c r="E86" t="s">
        <v>18</v>
      </c>
      <c r="F86" s="4">
        <v>45524</v>
      </c>
      <c r="G86" s="4">
        <v>45531</v>
      </c>
      <c r="H86" s="7">
        <f t="shared" si="3"/>
        <v>7</v>
      </c>
      <c r="I86" t="s">
        <v>31</v>
      </c>
      <c r="J86" t="s">
        <v>44</v>
      </c>
      <c r="K86" s="2">
        <v>7803.54</v>
      </c>
      <c r="L86" s="9">
        <v>0.7</v>
      </c>
      <c r="M86" s="15">
        <f t="shared" si="4"/>
        <v>5462.4780000000001</v>
      </c>
      <c r="N86" s="15">
        <f t="shared" si="5"/>
        <v>2341.0619999999999</v>
      </c>
      <c r="O86" t="s">
        <v>20</v>
      </c>
    </row>
    <row r="87" spans="1:15" hidden="1" x14ac:dyDescent="0.35">
      <c r="A87" t="s">
        <v>217</v>
      </c>
      <c r="B87" t="s">
        <v>218</v>
      </c>
      <c r="C87">
        <v>50</v>
      </c>
      <c r="D87" s="8" t="str" cm="1">
        <f t="array" ref="D87">_xlfn.IFS(C87&lt;=2, "Infant", C87&lt;=11, "Child", C87&lt;=17, "Adolescent", C87&lt;=44, "Young Adult", C87&lt;=64, "Middle Aged", C87&lt;=84,"Young Old", C87&gt;=85,"Oldest Old")</f>
        <v>Middle Aged</v>
      </c>
      <c r="E87" t="s">
        <v>18</v>
      </c>
      <c r="F87" s="4">
        <v>45659</v>
      </c>
      <c r="G87" s="4">
        <v>45667</v>
      </c>
      <c r="H87" s="7">
        <f t="shared" si="3"/>
        <v>8</v>
      </c>
      <c r="I87" t="s">
        <v>70</v>
      </c>
      <c r="J87" t="s">
        <v>71</v>
      </c>
      <c r="K87" s="2">
        <v>12412.35</v>
      </c>
      <c r="L87" s="9">
        <v>0.9</v>
      </c>
      <c r="M87" s="15">
        <f t="shared" si="4"/>
        <v>11171.115</v>
      </c>
      <c r="N87" s="15">
        <f t="shared" si="5"/>
        <v>1241.2350000000006</v>
      </c>
      <c r="O87" t="s">
        <v>25</v>
      </c>
    </row>
    <row r="88" spans="1:15" hidden="1" x14ac:dyDescent="0.35">
      <c r="A88" t="s">
        <v>219</v>
      </c>
      <c r="B88" t="s">
        <v>220</v>
      </c>
      <c r="C88">
        <v>39</v>
      </c>
      <c r="D88" s="8" t="str" cm="1">
        <f t="array" ref="D88">_xlfn.IFS(C88&lt;=2, "Infant", C88&lt;=11, "Child", C88&lt;=17, "Adolescent", C88&lt;=44, "Young Adult", C88&lt;=64, "Middle Aged", C88&lt;=84,"Young Old", C88&gt;=85,"Oldest Old")</f>
        <v>Young Adult</v>
      </c>
      <c r="E88" t="s">
        <v>18</v>
      </c>
      <c r="F88" s="4">
        <v>45989</v>
      </c>
      <c r="G88" s="4">
        <v>45991</v>
      </c>
      <c r="H88" s="7">
        <f t="shared" si="3"/>
        <v>2</v>
      </c>
      <c r="I88" t="s">
        <v>23</v>
      </c>
      <c r="J88" t="s">
        <v>221</v>
      </c>
      <c r="K88" s="2">
        <v>2598.06</v>
      </c>
      <c r="L88" s="9">
        <v>0.8</v>
      </c>
      <c r="M88" s="15">
        <f t="shared" si="4"/>
        <v>2078.4479999999999</v>
      </c>
      <c r="N88" s="15">
        <f t="shared" si="5"/>
        <v>519.61200000000008</v>
      </c>
      <c r="O88" t="s">
        <v>15</v>
      </c>
    </row>
    <row r="89" spans="1:15" hidden="1" x14ac:dyDescent="0.35">
      <c r="A89" t="s">
        <v>222</v>
      </c>
      <c r="B89" t="s">
        <v>223</v>
      </c>
      <c r="C89">
        <v>68</v>
      </c>
      <c r="D89" s="8" t="str" cm="1">
        <f t="array" ref="D89">_xlfn.IFS(C89&lt;=2, "Infant", C89&lt;=11, "Child", C89&lt;=17, "Adolescent", C89&lt;=44, "Young Adult", C89&lt;=64, "Middle Aged", C89&lt;=84,"Young Old", C89&gt;=85,"Oldest Old")</f>
        <v>Young Old</v>
      </c>
      <c r="E89" t="s">
        <v>12</v>
      </c>
      <c r="F89" s="4">
        <v>45720</v>
      </c>
      <c r="G89" s="4">
        <v>45727</v>
      </c>
      <c r="H89" s="7">
        <f t="shared" si="3"/>
        <v>7</v>
      </c>
      <c r="I89" t="s">
        <v>31</v>
      </c>
      <c r="J89" t="s">
        <v>114</v>
      </c>
      <c r="K89" s="2">
        <v>9165.89</v>
      </c>
      <c r="L89" s="9">
        <v>0.7</v>
      </c>
      <c r="M89" s="15">
        <f t="shared" si="4"/>
        <v>6416.1229999999996</v>
      </c>
      <c r="N89" s="15">
        <f t="shared" si="5"/>
        <v>2749.7669999999998</v>
      </c>
      <c r="O89" t="s">
        <v>15</v>
      </c>
    </row>
    <row r="90" spans="1:15" hidden="1" x14ac:dyDescent="0.35">
      <c r="A90" t="s">
        <v>224</v>
      </c>
      <c r="B90" t="s">
        <v>225</v>
      </c>
      <c r="C90">
        <v>55</v>
      </c>
      <c r="D90" s="8" t="str" cm="1">
        <f t="array" ref="D90">_xlfn.IFS(C90&lt;=2, "Infant", C90&lt;=11, "Child", C90&lt;=17, "Adolescent", C90&lt;=44, "Young Adult", C90&lt;=64, "Middle Aged", C90&lt;=84,"Young Old", C90&gt;=85,"Oldest Old")</f>
        <v>Middle Aged</v>
      </c>
      <c r="E90" t="s">
        <v>18</v>
      </c>
      <c r="F90" s="4">
        <v>45874</v>
      </c>
      <c r="G90" s="4">
        <v>45876</v>
      </c>
      <c r="H90" s="7">
        <f t="shared" si="3"/>
        <v>2</v>
      </c>
      <c r="I90" t="s">
        <v>23</v>
      </c>
      <c r="J90" t="s">
        <v>24</v>
      </c>
      <c r="K90" s="2">
        <v>2783.91</v>
      </c>
      <c r="L90" s="9">
        <v>0.7</v>
      </c>
      <c r="M90" s="15">
        <f t="shared" si="4"/>
        <v>1948.7369999999999</v>
      </c>
      <c r="N90" s="15">
        <f t="shared" si="5"/>
        <v>835.173</v>
      </c>
      <c r="O90" t="s">
        <v>15</v>
      </c>
    </row>
    <row r="91" spans="1:15" hidden="1" x14ac:dyDescent="0.35">
      <c r="A91" t="s">
        <v>226</v>
      </c>
      <c r="B91" t="s">
        <v>227</v>
      </c>
      <c r="C91">
        <v>71</v>
      </c>
      <c r="D91" s="8" t="str" cm="1">
        <f t="array" ref="D91">_xlfn.IFS(C91&lt;=2, "Infant", C91&lt;=11, "Child", C91&lt;=17, "Adolescent", C91&lt;=44, "Young Adult", C91&lt;=64, "Middle Aged", C91&lt;=84,"Young Old", C91&gt;=85,"Oldest Old")</f>
        <v>Young Old</v>
      </c>
      <c r="E91" t="s">
        <v>18</v>
      </c>
      <c r="F91" s="4">
        <v>45679</v>
      </c>
      <c r="G91" s="4">
        <v>45688</v>
      </c>
      <c r="H91" s="7">
        <f t="shared" si="3"/>
        <v>9</v>
      </c>
      <c r="I91" t="s">
        <v>13</v>
      </c>
      <c r="J91" t="s">
        <v>19</v>
      </c>
      <c r="K91" s="2">
        <v>23939.75</v>
      </c>
      <c r="L91" s="9">
        <v>0.6</v>
      </c>
      <c r="M91" s="15">
        <f t="shared" si="4"/>
        <v>14363.85</v>
      </c>
      <c r="N91" s="15">
        <f t="shared" si="5"/>
        <v>9575.9</v>
      </c>
      <c r="O91" t="s">
        <v>15</v>
      </c>
    </row>
    <row r="92" spans="1:15" hidden="1" x14ac:dyDescent="0.35">
      <c r="A92" t="s">
        <v>228</v>
      </c>
      <c r="B92" t="s">
        <v>229</v>
      </c>
      <c r="C92">
        <v>55</v>
      </c>
      <c r="D92" s="8" t="str" cm="1">
        <f t="array" ref="D92">_xlfn.IFS(C92&lt;=2, "Infant", C92&lt;=11, "Child", C92&lt;=17, "Adolescent", C92&lt;=44, "Young Adult", C92&lt;=64, "Middle Aged", C92&lt;=84,"Young Old", C92&gt;=85,"Oldest Old")</f>
        <v>Middle Aged</v>
      </c>
      <c r="E92" t="s">
        <v>18</v>
      </c>
      <c r="F92" s="4">
        <v>45778</v>
      </c>
      <c r="G92" s="4">
        <v>45786</v>
      </c>
      <c r="H92" s="7">
        <f t="shared" si="3"/>
        <v>8</v>
      </c>
      <c r="I92" t="s">
        <v>70</v>
      </c>
      <c r="J92" t="s">
        <v>157</v>
      </c>
      <c r="K92" s="2">
        <v>19244.54</v>
      </c>
      <c r="L92" s="9">
        <v>0.8</v>
      </c>
      <c r="M92" s="15">
        <f t="shared" si="4"/>
        <v>15395.632000000001</v>
      </c>
      <c r="N92" s="15">
        <f t="shared" si="5"/>
        <v>3848.9079999999994</v>
      </c>
      <c r="O92" t="s">
        <v>15</v>
      </c>
    </row>
    <row r="93" spans="1:15" hidden="1" x14ac:dyDescent="0.35">
      <c r="A93" t="s">
        <v>230</v>
      </c>
      <c r="B93" t="s">
        <v>231</v>
      </c>
      <c r="C93">
        <v>60</v>
      </c>
      <c r="D93" s="8" t="str" cm="1">
        <f t="array" ref="D93">_xlfn.IFS(C93&lt;=2, "Infant", C93&lt;=11, "Child", C93&lt;=17, "Adolescent", C93&lt;=44, "Young Adult", C93&lt;=64, "Middle Aged", C93&lt;=84,"Young Old", C93&gt;=85,"Oldest Old")</f>
        <v>Middle Aged</v>
      </c>
      <c r="E93" t="s">
        <v>18</v>
      </c>
      <c r="F93" s="4">
        <v>45490</v>
      </c>
      <c r="G93" s="4">
        <v>45499</v>
      </c>
      <c r="H93" s="7">
        <f t="shared" si="3"/>
        <v>9</v>
      </c>
      <c r="I93" t="s">
        <v>13</v>
      </c>
      <c r="J93" t="s">
        <v>14</v>
      </c>
      <c r="K93" s="2">
        <v>17194.91</v>
      </c>
      <c r="L93" s="9">
        <v>0.9</v>
      </c>
      <c r="M93" s="15">
        <f t="shared" si="4"/>
        <v>15475.419</v>
      </c>
      <c r="N93" s="15">
        <f t="shared" si="5"/>
        <v>1719.491</v>
      </c>
      <c r="O93" t="s">
        <v>15</v>
      </c>
    </row>
    <row r="94" spans="1:15" hidden="1" x14ac:dyDescent="0.35">
      <c r="A94" t="s">
        <v>232</v>
      </c>
      <c r="B94" t="s">
        <v>233</v>
      </c>
      <c r="C94">
        <v>62</v>
      </c>
      <c r="D94" s="8" t="str" cm="1">
        <f t="array" ref="D94">_xlfn.IFS(C94&lt;=2, "Infant", C94&lt;=11, "Child", C94&lt;=17, "Adolescent", C94&lt;=44, "Young Adult", C94&lt;=64, "Middle Aged", C94&lt;=84,"Young Old", C94&gt;=85,"Oldest Old")</f>
        <v>Middle Aged</v>
      </c>
      <c r="E94" t="s">
        <v>12</v>
      </c>
      <c r="F94" s="4">
        <v>45530</v>
      </c>
      <c r="G94" s="4">
        <v>45533</v>
      </c>
      <c r="H94" s="7">
        <f t="shared" si="3"/>
        <v>3</v>
      </c>
      <c r="I94" t="s">
        <v>31</v>
      </c>
      <c r="J94" t="s">
        <v>234</v>
      </c>
      <c r="K94" s="2">
        <v>3707.77</v>
      </c>
      <c r="L94" s="9">
        <v>0.8</v>
      </c>
      <c r="M94" s="15">
        <f t="shared" si="4"/>
        <v>2966.2160000000003</v>
      </c>
      <c r="N94" s="15">
        <f t="shared" si="5"/>
        <v>741.55399999999963</v>
      </c>
      <c r="O94" t="s">
        <v>15</v>
      </c>
    </row>
    <row r="95" spans="1:15" hidden="1" x14ac:dyDescent="0.35">
      <c r="A95" t="s">
        <v>235</v>
      </c>
      <c r="B95" t="s">
        <v>236</v>
      </c>
      <c r="C95">
        <v>62</v>
      </c>
      <c r="D95" s="8" t="str" cm="1">
        <f t="array" ref="D95">_xlfn.IFS(C95&lt;=2, "Infant", C95&lt;=11, "Child", C95&lt;=17, "Adolescent", C95&lt;=44, "Young Adult", C95&lt;=64, "Middle Aged", C95&lt;=84,"Young Old", C95&gt;=85,"Oldest Old")</f>
        <v>Middle Aged</v>
      </c>
      <c r="E95" t="s">
        <v>18</v>
      </c>
      <c r="F95" s="4">
        <v>45895</v>
      </c>
      <c r="G95" s="4">
        <v>45901</v>
      </c>
      <c r="H95" s="7">
        <f t="shared" si="3"/>
        <v>6</v>
      </c>
      <c r="I95" t="s">
        <v>70</v>
      </c>
      <c r="J95" t="s">
        <v>237</v>
      </c>
      <c r="K95" s="2">
        <v>11445.42</v>
      </c>
      <c r="L95" s="9">
        <v>0.8</v>
      </c>
      <c r="M95" s="15">
        <f t="shared" si="4"/>
        <v>9156.3360000000011</v>
      </c>
      <c r="N95" s="15">
        <f t="shared" si="5"/>
        <v>2289.0839999999989</v>
      </c>
      <c r="O95" t="s">
        <v>20</v>
      </c>
    </row>
    <row r="96" spans="1:15" x14ac:dyDescent="0.35">
      <c r="A96" t="s">
        <v>238</v>
      </c>
      <c r="B96" t="s">
        <v>239</v>
      </c>
      <c r="C96">
        <v>52</v>
      </c>
      <c r="D96" s="8" t="str" cm="1">
        <f t="array" ref="D96">_xlfn.IFS(C96&lt;=2, "Infant", C96&lt;=11, "Child", C96&lt;=17, "Adolescent", C96&lt;=44, "Young Adult", C96&lt;=64, "Middle Aged", C96&lt;=84,"Young Old", C96&gt;=85,"Oldest Old")</f>
        <v>Middle Aged</v>
      </c>
      <c r="E96" t="s">
        <v>12</v>
      </c>
      <c r="F96" s="4">
        <v>45775</v>
      </c>
      <c r="G96" s="4">
        <v>45777</v>
      </c>
      <c r="H96" s="7">
        <f t="shared" si="3"/>
        <v>2</v>
      </c>
      <c r="I96" t="s">
        <v>31</v>
      </c>
      <c r="J96" t="s">
        <v>32</v>
      </c>
      <c r="K96" s="2">
        <v>1587.61</v>
      </c>
      <c r="L96" s="9">
        <v>0.9</v>
      </c>
      <c r="M96" s="15">
        <f t="shared" si="4"/>
        <v>1428.8489999999999</v>
      </c>
      <c r="N96" s="15">
        <f t="shared" si="5"/>
        <v>158.76099999999997</v>
      </c>
      <c r="O96" t="s">
        <v>20</v>
      </c>
    </row>
    <row r="97" spans="1:15" hidden="1" x14ac:dyDescent="0.35">
      <c r="A97" t="s">
        <v>240</v>
      </c>
      <c r="B97" t="s">
        <v>241</v>
      </c>
      <c r="C97">
        <v>32</v>
      </c>
      <c r="D97" s="8" t="str" cm="1">
        <f t="array" ref="D97">_xlfn.IFS(C97&lt;=2, "Infant", C97&lt;=11, "Child", C97&lt;=17, "Adolescent", C97&lt;=44, "Young Adult", C97&lt;=64, "Middle Aged", C97&lt;=84,"Young Old", C97&gt;=85,"Oldest Old")</f>
        <v>Young Adult</v>
      </c>
      <c r="E97" t="s">
        <v>12</v>
      </c>
      <c r="F97" s="4">
        <v>45589</v>
      </c>
      <c r="G97" s="4">
        <v>45591</v>
      </c>
      <c r="H97" s="7">
        <f t="shared" si="3"/>
        <v>2</v>
      </c>
      <c r="I97" t="s">
        <v>23</v>
      </c>
      <c r="J97" t="s">
        <v>82</v>
      </c>
      <c r="K97" s="2">
        <v>4946.29</v>
      </c>
      <c r="L97" s="9">
        <v>0.8</v>
      </c>
      <c r="M97" s="15">
        <f t="shared" si="4"/>
        <v>3957.0320000000002</v>
      </c>
      <c r="N97" s="15">
        <f t="shared" si="5"/>
        <v>989.25799999999981</v>
      </c>
      <c r="O97" t="s">
        <v>15</v>
      </c>
    </row>
    <row r="98" spans="1:15" hidden="1" x14ac:dyDescent="0.35">
      <c r="A98" t="s">
        <v>242</v>
      </c>
      <c r="B98" t="s">
        <v>243</v>
      </c>
      <c r="C98">
        <v>15</v>
      </c>
      <c r="D98" s="8" t="str" cm="1">
        <f t="array" ref="D98">_xlfn.IFS(C98&lt;=2, "Infant", C98&lt;=11, "Child", C98&lt;=17, "Adolescent", C98&lt;=44, "Young Adult", C98&lt;=64, "Middle Aged", C98&lt;=84,"Young Old", C98&gt;=85,"Oldest Old")</f>
        <v>Adolescent</v>
      </c>
      <c r="E98" t="s">
        <v>12</v>
      </c>
      <c r="F98" s="4">
        <v>45594</v>
      </c>
      <c r="G98" s="4">
        <v>45597</v>
      </c>
      <c r="H98" s="7">
        <f t="shared" si="3"/>
        <v>3</v>
      </c>
      <c r="I98" t="s">
        <v>49</v>
      </c>
      <c r="J98" t="s">
        <v>123</v>
      </c>
      <c r="K98" s="2">
        <v>3757.58</v>
      </c>
      <c r="L98" s="9">
        <v>0.8</v>
      </c>
      <c r="M98" s="15">
        <f t="shared" si="4"/>
        <v>3006.0640000000003</v>
      </c>
      <c r="N98" s="15">
        <f t="shared" si="5"/>
        <v>751.51599999999962</v>
      </c>
      <c r="O98" t="s">
        <v>15</v>
      </c>
    </row>
    <row r="99" spans="1:15" hidden="1" x14ac:dyDescent="0.35">
      <c r="A99" t="s">
        <v>244</v>
      </c>
      <c r="B99" t="s">
        <v>245</v>
      </c>
      <c r="C99">
        <v>61</v>
      </c>
      <c r="D99" s="8" t="str" cm="1">
        <f t="array" ref="D99">_xlfn.IFS(C99&lt;=2, "Infant", C99&lt;=11, "Child", C99&lt;=17, "Adolescent", C99&lt;=44, "Young Adult", C99&lt;=64, "Middle Aged", C99&lt;=84,"Young Old", C99&gt;=85,"Oldest Old")</f>
        <v>Middle Aged</v>
      </c>
      <c r="E99" t="s">
        <v>12</v>
      </c>
      <c r="F99" s="4">
        <v>45765</v>
      </c>
      <c r="G99" s="4">
        <v>45770</v>
      </c>
      <c r="H99" s="7">
        <f t="shared" si="3"/>
        <v>5</v>
      </c>
      <c r="I99" t="s">
        <v>13</v>
      </c>
      <c r="J99" t="s">
        <v>111</v>
      </c>
      <c r="K99" s="2">
        <v>10173.43</v>
      </c>
      <c r="L99" s="9">
        <v>0.7</v>
      </c>
      <c r="M99" s="15">
        <f t="shared" si="4"/>
        <v>7121.4009999999998</v>
      </c>
      <c r="N99" s="15">
        <f t="shared" si="5"/>
        <v>3052.0290000000005</v>
      </c>
      <c r="O99" t="s">
        <v>25</v>
      </c>
    </row>
    <row r="100" spans="1:15" hidden="1" x14ac:dyDescent="0.35">
      <c r="A100" t="s">
        <v>246</v>
      </c>
      <c r="B100" t="s">
        <v>247</v>
      </c>
      <c r="C100">
        <v>1</v>
      </c>
      <c r="D100" s="8" t="str" cm="1">
        <f t="array" ref="D100">_xlfn.IFS(C100&lt;=2, "Infant", C100&lt;=11, "Child", C100&lt;=17, "Adolescent", C100&lt;=44, "Young Adult", C100&lt;=64, "Middle Aged", C100&lt;=84,"Young Old", C100&gt;=85,"Oldest Old")</f>
        <v>Infant</v>
      </c>
      <c r="E100" t="s">
        <v>18</v>
      </c>
      <c r="F100" s="4">
        <v>45646</v>
      </c>
      <c r="G100" s="4">
        <v>45651</v>
      </c>
      <c r="H100" s="7">
        <f t="shared" si="3"/>
        <v>5</v>
      </c>
      <c r="I100" t="s">
        <v>49</v>
      </c>
      <c r="J100" t="s">
        <v>123</v>
      </c>
      <c r="K100" s="2">
        <v>4626.03</v>
      </c>
      <c r="L100" s="9">
        <v>0.5</v>
      </c>
      <c r="M100" s="15">
        <f t="shared" si="4"/>
        <v>2313.0149999999999</v>
      </c>
      <c r="N100" s="15">
        <f t="shared" si="5"/>
        <v>2313.0149999999999</v>
      </c>
      <c r="O100" t="s">
        <v>20</v>
      </c>
    </row>
    <row r="101" spans="1:15" hidden="1" x14ac:dyDescent="0.35">
      <c r="A101" t="s">
        <v>248</v>
      </c>
      <c r="B101" t="s">
        <v>161</v>
      </c>
      <c r="C101">
        <v>28</v>
      </c>
      <c r="D101" s="8" t="str" cm="1">
        <f t="array" ref="D101">_xlfn.IFS(C101&lt;=2, "Infant", C101&lt;=11, "Child", C101&lt;=17, "Adolescent", C101&lt;=44, "Young Adult", C101&lt;=64, "Middle Aged", C101&lt;=84,"Young Old", C101&gt;=85,"Oldest Old")</f>
        <v>Young Adult</v>
      </c>
      <c r="E101" t="s">
        <v>18</v>
      </c>
      <c r="F101" s="4">
        <v>45612</v>
      </c>
      <c r="G101" s="4">
        <v>45615</v>
      </c>
      <c r="H101" s="7">
        <f t="shared" si="3"/>
        <v>3</v>
      </c>
      <c r="I101" t="s">
        <v>31</v>
      </c>
      <c r="J101" t="s">
        <v>87</v>
      </c>
      <c r="K101" s="2">
        <v>3159.6</v>
      </c>
      <c r="L101" s="9">
        <v>0.8</v>
      </c>
      <c r="M101" s="15">
        <f t="shared" si="4"/>
        <v>2527.6800000000003</v>
      </c>
      <c r="N101" s="15">
        <f t="shared" si="5"/>
        <v>631.91999999999962</v>
      </c>
      <c r="O101" t="s">
        <v>15</v>
      </c>
    </row>
    <row r="102" spans="1:15" hidden="1" x14ac:dyDescent="0.35">
      <c r="A102" t="s">
        <v>249</v>
      </c>
      <c r="B102" t="s">
        <v>250</v>
      </c>
      <c r="C102">
        <v>78</v>
      </c>
      <c r="D102" s="8" t="str" cm="1">
        <f t="array" ref="D102">_xlfn.IFS(C102&lt;=2, "Infant", C102&lt;=11, "Child", C102&lt;=17, "Adolescent", C102&lt;=44, "Young Adult", C102&lt;=64, "Middle Aged", C102&lt;=84,"Young Old", C102&gt;=85,"Oldest Old")</f>
        <v>Young Old</v>
      </c>
      <c r="E102" t="s">
        <v>12</v>
      </c>
      <c r="F102" s="4">
        <v>45326</v>
      </c>
      <c r="G102" s="4">
        <v>45329</v>
      </c>
      <c r="H102" s="7">
        <f t="shared" si="3"/>
        <v>3</v>
      </c>
      <c r="I102" t="s">
        <v>23</v>
      </c>
      <c r="J102" t="s">
        <v>41</v>
      </c>
      <c r="K102" s="2">
        <v>6630.7</v>
      </c>
      <c r="L102" s="9">
        <v>0.9</v>
      </c>
      <c r="M102" s="15">
        <f t="shared" si="4"/>
        <v>5967.63</v>
      </c>
      <c r="N102" s="15">
        <f t="shared" si="5"/>
        <v>663.06999999999971</v>
      </c>
      <c r="O102" t="s">
        <v>15</v>
      </c>
    </row>
    <row r="103" spans="1:15" hidden="1" x14ac:dyDescent="0.35">
      <c r="A103" t="s">
        <v>251</v>
      </c>
      <c r="B103" t="s">
        <v>252</v>
      </c>
      <c r="C103">
        <v>51</v>
      </c>
      <c r="D103" s="8" t="str" cm="1">
        <f t="array" ref="D103">_xlfn.IFS(C103&lt;=2, "Infant", C103&lt;=11, "Child", C103&lt;=17, "Adolescent", C103&lt;=44, "Young Adult", C103&lt;=64, "Middle Aged", C103&lt;=84,"Young Old", C103&gt;=85,"Oldest Old")</f>
        <v>Middle Aged</v>
      </c>
      <c r="E103" t="s">
        <v>12</v>
      </c>
      <c r="F103" s="4">
        <v>45392</v>
      </c>
      <c r="G103" s="4">
        <v>45401</v>
      </c>
      <c r="H103" s="7">
        <f t="shared" si="3"/>
        <v>9</v>
      </c>
      <c r="I103" t="s">
        <v>70</v>
      </c>
      <c r="J103" t="s">
        <v>71</v>
      </c>
      <c r="K103" s="2">
        <v>17220.650000000001</v>
      </c>
      <c r="L103" s="9">
        <v>0.7</v>
      </c>
      <c r="M103" s="15">
        <f t="shared" si="4"/>
        <v>12054.455</v>
      </c>
      <c r="N103" s="15">
        <f t="shared" si="5"/>
        <v>5166.1950000000015</v>
      </c>
      <c r="O103" t="s">
        <v>25</v>
      </c>
    </row>
    <row r="104" spans="1:15" hidden="1" x14ac:dyDescent="0.35">
      <c r="A104" t="s">
        <v>253</v>
      </c>
      <c r="B104" t="s">
        <v>254</v>
      </c>
      <c r="C104">
        <v>70</v>
      </c>
      <c r="D104" s="8" t="str" cm="1">
        <f t="array" ref="D104">_xlfn.IFS(C104&lt;=2, "Infant", C104&lt;=11, "Child", C104&lt;=17, "Adolescent", C104&lt;=44, "Young Adult", C104&lt;=64, "Middle Aged", C104&lt;=84,"Young Old", C104&gt;=85,"Oldest Old")</f>
        <v>Young Old</v>
      </c>
      <c r="E104" t="s">
        <v>12</v>
      </c>
      <c r="F104" s="4">
        <v>45347</v>
      </c>
      <c r="G104" s="4">
        <v>45352</v>
      </c>
      <c r="H104" s="7">
        <f t="shared" si="3"/>
        <v>5</v>
      </c>
      <c r="I104" t="s">
        <v>60</v>
      </c>
      <c r="J104" t="s">
        <v>97</v>
      </c>
      <c r="K104" s="2">
        <v>13557.6</v>
      </c>
      <c r="L104" s="9">
        <v>0.9</v>
      </c>
      <c r="M104" s="15">
        <f t="shared" si="4"/>
        <v>12201.84</v>
      </c>
      <c r="N104" s="15">
        <f t="shared" si="5"/>
        <v>1355.7600000000002</v>
      </c>
      <c r="O104" t="s">
        <v>15</v>
      </c>
    </row>
    <row r="105" spans="1:15" hidden="1" x14ac:dyDescent="0.35">
      <c r="A105" t="s">
        <v>255</v>
      </c>
      <c r="B105" t="s">
        <v>256</v>
      </c>
      <c r="C105">
        <v>51</v>
      </c>
      <c r="D105" s="8" t="str" cm="1">
        <f t="array" ref="D105">_xlfn.IFS(C105&lt;=2, "Infant", C105&lt;=11, "Child", C105&lt;=17, "Adolescent", C105&lt;=44, "Young Adult", C105&lt;=64, "Middle Aged", C105&lt;=84,"Young Old", C105&gt;=85,"Oldest Old")</f>
        <v>Middle Aged</v>
      </c>
      <c r="E105" t="s">
        <v>12</v>
      </c>
      <c r="F105" s="4">
        <v>45758</v>
      </c>
      <c r="G105" s="4">
        <v>45760</v>
      </c>
      <c r="H105" s="7">
        <f t="shared" si="3"/>
        <v>2</v>
      </c>
      <c r="I105" t="s">
        <v>31</v>
      </c>
      <c r="J105" t="s">
        <v>234</v>
      </c>
      <c r="K105" s="2">
        <v>1460.86</v>
      </c>
      <c r="L105" s="9">
        <v>0.7</v>
      </c>
      <c r="M105" s="15">
        <f t="shared" si="4"/>
        <v>1022.6019999999999</v>
      </c>
      <c r="N105" s="15">
        <f t="shared" si="5"/>
        <v>438.25800000000004</v>
      </c>
      <c r="O105" t="s">
        <v>25</v>
      </c>
    </row>
    <row r="106" spans="1:15" hidden="1" x14ac:dyDescent="0.35">
      <c r="A106" t="s">
        <v>257</v>
      </c>
      <c r="B106" t="s">
        <v>258</v>
      </c>
      <c r="C106">
        <v>57</v>
      </c>
      <c r="D106" s="8" t="str" cm="1">
        <f t="array" ref="D106">_xlfn.IFS(C106&lt;=2, "Infant", C106&lt;=11, "Child", C106&lt;=17, "Adolescent", C106&lt;=44, "Young Adult", C106&lt;=64, "Middle Aged", C106&lt;=84,"Young Old", C106&gt;=85,"Oldest Old")</f>
        <v>Middle Aged</v>
      </c>
      <c r="E106" t="s">
        <v>12</v>
      </c>
      <c r="F106" s="4">
        <v>45669</v>
      </c>
      <c r="G106" s="4">
        <v>45672</v>
      </c>
      <c r="H106" s="7">
        <f t="shared" si="3"/>
        <v>3</v>
      </c>
      <c r="I106" t="s">
        <v>70</v>
      </c>
      <c r="J106" t="s">
        <v>237</v>
      </c>
      <c r="K106" s="2">
        <v>5152.58</v>
      </c>
      <c r="L106" s="9">
        <v>0</v>
      </c>
      <c r="M106" s="15">
        <f t="shared" si="4"/>
        <v>0</v>
      </c>
      <c r="N106" s="15">
        <f t="shared" si="5"/>
        <v>5152.58</v>
      </c>
      <c r="O106" t="s">
        <v>15</v>
      </c>
    </row>
    <row r="107" spans="1:15" hidden="1" x14ac:dyDescent="0.35">
      <c r="A107" t="s">
        <v>259</v>
      </c>
      <c r="B107" t="s">
        <v>260</v>
      </c>
      <c r="C107">
        <v>37</v>
      </c>
      <c r="D107" s="8" t="str" cm="1">
        <f t="array" ref="D107">_xlfn.IFS(C107&lt;=2, "Infant", C107&lt;=11, "Child", C107&lt;=17, "Adolescent", C107&lt;=44, "Young Adult", C107&lt;=64, "Middle Aged", C107&lt;=84,"Young Old", C107&gt;=85,"Oldest Old")</f>
        <v>Young Adult</v>
      </c>
      <c r="E107" t="s">
        <v>18</v>
      </c>
      <c r="F107" s="4">
        <v>45865</v>
      </c>
      <c r="G107" s="4">
        <v>45866</v>
      </c>
      <c r="H107" s="7">
        <f t="shared" si="3"/>
        <v>1</v>
      </c>
      <c r="I107" t="s">
        <v>23</v>
      </c>
      <c r="J107" t="s">
        <v>28</v>
      </c>
      <c r="K107" s="2">
        <v>954.61</v>
      </c>
      <c r="L107" s="9">
        <v>0.9</v>
      </c>
      <c r="M107" s="15">
        <f t="shared" si="4"/>
        <v>859.149</v>
      </c>
      <c r="N107" s="15">
        <f t="shared" si="5"/>
        <v>95.461000000000013</v>
      </c>
      <c r="O107" t="s">
        <v>15</v>
      </c>
    </row>
    <row r="108" spans="1:15" hidden="1" x14ac:dyDescent="0.35">
      <c r="A108" t="s">
        <v>261</v>
      </c>
      <c r="B108" t="s">
        <v>262</v>
      </c>
      <c r="C108">
        <v>59</v>
      </c>
      <c r="D108" s="8" t="str" cm="1">
        <f t="array" ref="D108">_xlfn.IFS(C108&lt;=2, "Infant", C108&lt;=11, "Child", C108&lt;=17, "Adolescent", C108&lt;=44, "Young Adult", C108&lt;=64, "Middle Aged", C108&lt;=84,"Young Old", C108&gt;=85,"Oldest Old")</f>
        <v>Middle Aged</v>
      </c>
      <c r="E108" t="s">
        <v>12</v>
      </c>
      <c r="F108" s="4">
        <v>45703</v>
      </c>
      <c r="G108" s="4">
        <v>45709</v>
      </c>
      <c r="H108" s="7">
        <f t="shared" si="3"/>
        <v>6</v>
      </c>
      <c r="I108" t="s">
        <v>13</v>
      </c>
      <c r="J108" t="s">
        <v>111</v>
      </c>
      <c r="K108" s="2">
        <v>11951.45</v>
      </c>
      <c r="L108" s="9">
        <v>1</v>
      </c>
      <c r="M108" s="15">
        <f t="shared" si="4"/>
        <v>11951.45</v>
      </c>
      <c r="N108" s="15">
        <f t="shared" si="5"/>
        <v>0</v>
      </c>
      <c r="O108" t="s">
        <v>15</v>
      </c>
    </row>
    <row r="109" spans="1:15" hidden="1" x14ac:dyDescent="0.35">
      <c r="A109" t="s">
        <v>263</v>
      </c>
      <c r="B109" t="s">
        <v>179</v>
      </c>
      <c r="C109">
        <v>2</v>
      </c>
      <c r="D109" s="8" t="str" cm="1">
        <f t="array" ref="D109">_xlfn.IFS(C109&lt;=2, "Infant", C109&lt;=11, "Child", C109&lt;=17, "Adolescent", C109&lt;=44, "Young Adult", C109&lt;=64, "Middle Aged", C109&lt;=84,"Young Old", C109&gt;=85,"Oldest Old")</f>
        <v>Infant</v>
      </c>
      <c r="E109" t="s">
        <v>12</v>
      </c>
      <c r="F109" s="4">
        <v>45391</v>
      </c>
      <c r="G109" s="4">
        <v>45393</v>
      </c>
      <c r="H109" s="7">
        <f t="shared" si="3"/>
        <v>2</v>
      </c>
      <c r="I109" t="s">
        <v>49</v>
      </c>
      <c r="J109" t="s">
        <v>123</v>
      </c>
      <c r="K109" s="2">
        <v>3169.16</v>
      </c>
      <c r="L109" s="9">
        <v>0.6</v>
      </c>
      <c r="M109" s="15">
        <f t="shared" si="4"/>
        <v>1901.4959999999999</v>
      </c>
      <c r="N109" s="15">
        <f t="shared" si="5"/>
        <v>1267.664</v>
      </c>
      <c r="O109" t="s">
        <v>20</v>
      </c>
    </row>
    <row r="110" spans="1:15" hidden="1" x14ac:dyDescent="0.35">
      <c r="A110" t="s">
        <v>264</v>
      </c>
      <c r="B110" t="s">
        <v>265</v>
      </c>
      <c r="C110">
        <v>55</v>
      </c>
      <c r="D110" s="8" t="str" cm="1">
        <f t="array" ref="D110">_xlfn.IFS(C110&lt;=2, "Infant", C110&lt;=11, "Child", C110&lt;=17, "Adolescent", C110&lt;=44, "Young Adult", C110&lt;=64, "Middle Aged", C110&lt;=84,"Young Old", C110&gt;=85,"Oldest Old")</f>
        <v>Middle Aged</v>
      </c>
      <c r="E110" t="s">
        <v>12</v>
      </c>
      <c r="F110" s="4">
        <v>45784</v>
      </c>
      <c r="G110" s="4">
        <v>45785</v>
      </c>
      <c r="H110" s="7">
        <f t="shared" si="3"/>
        <v>1</v>
      </c>
      <c r="I110" t="s">
        <v>31</v>
      </c>
      <c r="J110" t="s">
        <v>87</v>
      </c>
      <c r="K110" s="2">
        <v>1178.75</v>
      </c>
      <c r="L110" s="9">
        <v>0.7</v>
      </c>
      <c r="M110" s="15">
        <f t="shared" si="4"/>
        <v>825.125</v>
      </c>
      <c r="N110" s="15">
        <f t="shared" si="5"/>
        <v>353.625</v>
      </c>
      <c r="O110" t="s">
        <v>15</v>
      </c>
    </row>
    <row r="111" spans="1:15" hidden="1" x14ac:dyDescent="0.35">
      <c r="A111" t="s">
        <v>266</v>
      </c>
      <c r="B111" t="s">
        <v>267</v>
      </c>
      <c r="C111">
        <v>69</v>
      </c>
      <c r="D111" s="8" t="str" cm="1">
        <f t="array" ref="D111">_xlfn.IFS(C111&lt;=2, "Infant", C111&lt;=11, "Child", C111&lt;=17, "Adolescent", C111&lt;=44, "Young Adult", C111&lt;=64, "Middle Aged", C111&lt;=84,"Young Old", C111&gt;=85,"Oldest Old")</f>
        <v>Young Old</v>
      </c>
      <c r="E111" t="s">
        <v>12</v>
      </c>
      <c r="F111" s="4">
        <v>45402</v>
      </c>
      <c r="G111" s="4">
        <v>45405</v>
      </c>
      <c r="H111" s="7">
        <f t="shared" si="3"/>
        <v>3</v>
      </c>
      <c r="I111" t="s">
        <v>23</v>
      </c>
      <c r="J111" t="s">
        <v>24</v>
      </c>
      <c r="K111" s="2">
        <v>4895.09</v>
      </c>
      <c r="L111" s="9">
        <v>0.5</v>
      </c>
      <c r="M111" s="15">
        <f t="shared" si="4"/>
        <v>2447.5450000000001</v>
      </c>
      <c r="N111" s="15">
        <f t="shared" si="5"/>
        <v>2447.5450000000001</v>
      </c>
      <c r="O111" t="s">
        <v>25</v>
      </c>
    </row>
    <row r="112" spans="1:15" hidden="1" x14ac:dyDescent="0.35">
      <c r="A112" t="s">
        <v>268</v>
      </c>
      <c r="B112" t="s">
        <v>110</v>
      </c>
      <c r="C112">
        <v>2</v>
      </c>
      <c r="D112" s="8" t="str" cm="1">
        <f t="array" ref="D112">_xlfn.IFS(C112&lt;=2, "Infant", C112&lt;=11, "Child", C112&lt;=17, "Adolescent", C112&lt;=44, "Young Adult", C112&lt;=64, "Middle Aged", C112&lt;=84,"Young Old", C112&gt;=85,"Oldest Old")</f>
        <v>Infant</v>
      </c>
      <c r="E112" t="s">
        <v>12</v>
      </c>
      <c r="F112" s="4">
        <v>45580</v>
      </c>
      <c r="G112" s="4">
        <v>45581</v>
      </c>
      <c r="H112" s="7">
        <f t="shared" si="3"/>
        <v>1</v>
      </c>
      <c r="I112" t="s">
        <v>49</v>
      </c>
      <c r="J112" t="s">
        <v>117</v>
      </c>
      <c r="K112" s="2">
        <v>819.61</v>
      </c>
      <c r="L112" s="9">
        <v>0.8</v>
      </c>
      <c r="M112" s="15">
        <f t="shared" si="4"/>
        <v>655.6880000000001</v>
      </c>
      <c r="N112" s="15">
        <f t="shared" si="5"/>
        <v>163.92199999999991</v>
      </c>
      <c r="O112" t="s">
        <v>15</v>
      </c>
    </row>
    <row r="113" spans="1:15" hidden="1" x14ac:dyDescent="0.35">
      <c r="A113" t="s">
        <v>269</v>
      </c>
      <c r="B113" t="s">
        <v>270</v>
      </c>
      <c r="C113">
        <v>40</v>
      </c>
      <c r="D113" s="8" t="str" cm="1">
        <f t="array" ref="D113">_xlfn.IFS(C113&lt;=2, "Infant", C113&lt;=11, "Child", C113&lt;=17, "Adolescent", C113&lt;=44, "Young Adult", C113&lt;=64, "Middle Aged", C113&lt;=84,"Young Old", C113&gt;=85,"Oldest Old")</f>
        <v>Young Adult</v>
      </c>
      <c r="E113" t="s">
        <v>18</v>
      </c>
      <c r="F113" s="4">
        <v>45630</v>
      </c>
      <c r="G113" s="4">
        <v>45632</v>
      </c>
      <c r="H113" s="7">
        <f t="shared" si="3"/>
        <v>2</v>
      </c>
      <c r="I113" t="s">
        <v>23</v>
      </c>
      <c r="J113" t="s">
        <v>24</v>
      </c>
      <c r="K113" s="2">
        <v>2899.4</v>
      </c>
      <c r="L113" s="9">
        <v>0.7</v>
      </c>
      <c r="M113" s="15">
        <f t="shared" si="4"/>
        <v>2029.58</v>
      </c>
      <c r="N113" s="15">
        <f t="shared" si="5"/>
        <v>869.82000000000016</v>
      </c>
      <c r="O113" t="s">
        <v>20</v>
      </c>
    </row>
    <row r="114" spans="1:15" hidden="1" x14ac:dyDescent="0.35">
      <c r="A114" t="s">
        <v>271</v>
      </c>
      <c r="B114" t="s">
        <v>272</v>
      </c>
      <c r="C114">
        <v>4</v>
      </c>
      <c r="D114" s="8" t="str" cm="1">
        <f t="array" ref="D114">_xlfn.IFS(C114&lt;=2, "Infant", C114&lt;=11, "Child", C114&lt;=17, "Adolescent", C114&lt;=44, "Young Adult", C114&lt;=64, "Middle Aged", C114&lt;=84,"Young Old", C114&gt;=85,"Oldest Old")</f>
        <v>Child</v>
      </c>
      <c r="E114" t="s">
        <v>18</v>
      </c>
      <c r="F114" s="4">
        <v>45296</v>
      </c>
      <c r="G114" s="4">
        <v>45298</v>
      </c>
      <c r="H114" s="7">
        <f t="shared" si="3"/>
        <v>2</v>
      </c>
      <c r="I114" t="s">
        <v>49</v>
      </c>
      <c r="J114" t="s">
        <v>123</v>
      </c>
      <c r="K114" s="2">
        <v>2638.05</v>
      </c>
      <c r="L114" s="9">
        <v>0.9</v>
      </c>
      <c r="M114" s="15">
        <f t="shared" si="4"/>
        <v>2374.2450000000003</v>
      </c>
      <c r="N114" s="15">
        <f t="shared" si="5"/>
        <v>263.80499999999984</v>
      </c>
      <c r="O114" t="s">
        <v>20</v>
      </c>
    </row>
    <row r="115" spans="1:15" hidden="1" x14ac:dyDescent="0.35">
      <c r="A115" t="s">
        <v>273</v>
      </c>
      <c r="B115" t="s">
        <v>274</v>
      </c>
      <c r="C115">
        <v>19</v>
      </c>
      <c r="D115" s="8" t="str" cm="1">
        <f t="array" ref="D115">_xlfn.IFS(C115&lt;=2, "Infant", C115&lt;=11, "Child", C115&lt;=17, "Adolescent", C115&lt;=44, "Young Adult", C115&lt;=64, "Middle Aged", C115&lt;=84,"Young Old", C115&gt;=85,"Oldest Old")</f>
        <v>Young Adult</v>
      </c>
      <c r="E115" t="s">
        <v>18</v>
      </c>
      <c r="F115" s="4">
        <v>45420</v>
      </c>
      <c r="G115" s="4">
        <v>45423</v>
      </c>
      <c r="H115" s="7">
        <f t="shared" si="3"/>
        <v>3</v>
      </c>
      <c r="I115" t="s">
        <v>23</v>
      </c>
      <c r="J115" t="s">
        <v>28</v>
      </c>
      <c r="K115" s="2">
        <v>6176.26</v>
      </c>
      <c r="L115" s="9">
        <v>0.7</v>
      </c>
      <c r="M115" s="15">
        <f t="shared" si="4"/>
        <v>4323.3819999999996</v>
      </c>
      <c r="N115" s="15">
        <f t="shared" si="5"/>
        <v>1852.8780000000006</v>
      </c>
      <c r="O115" t="s">
        <v>20</v>
      </c>
    </row>
    <row r="116" spans="1:15" hidden="1" x14ac:dyDescent="0.35">
      <c r="A116" t="s">
        <v>275</v>
      </c>
      <c r="B116" t="s">
        <v>276</v>
      </c>
      <c r="C116">
        <v>29</v>
      </c>
      <c r="D116" s="8" t="str" cm="1">
        <f t="array" ref="D116">_xlfn.IFS(C116&lt;=2, "Infant", C116&lt;=11, "Child", C116&lt;=17, "Adolescent", C116&lt;=44, "Young Adult", C116&lt;=64, "Middle Aged", C116&lt;=84,"Young Old", C116&gt;=85,"Oldest Old")</f>
        <v>Young Adult</v>
      </c>
      <c r="E116" t="s">
        <v>12</v>
      </c>
      <c r="F116" s="4">
        <v>45912</v>
      </c>
      <c r="G116" s="4">
        <v>45915</v>
      </c>
      <c r="H116" s="7">
        <f t="shared" si="3"/>
        <v>3</v>
      </c>
      <c r="I116" t="s">
        <v>60</v>
      </c>
      <c r="J116" t="s">
        <v>142</v>
      </c>
      <c r="K116" s="2">
        <v>4035.23</v>
      </c>
      <c r="L116" s="9">
        <v>0.8</v>
      </c>
      <c r="M116" s="15">
        <f t="shared" si="4"/>
        <v>3228.1840000000002</v>
      </c>
      <c r="N116" s="15">
        <f t="shared" si="5"/>
        <v>807.04599999999982</v>
      </c>
      <c r="O116" t="s">
        <v>15</v>
      </c>
    </row>
    <row r="117" spans="1:15" hidden="1" x14ac:dyDescent="0.35">
      <c r="A117" t="s">
        <v>277</v>
      </c>
      <c r="B117" t="s">
        <v>278</v>
      </c>
      <c r="C117">
        <v>36</v>
      </c>
      <c r="D117" s="8" t="str" cm="1">
        <f t="array" ref="D117">_xlfn.IFS(C117&lt;=2, "Infant", C117&lt;=11, "Child", C117&lt;=17, "Adolescent", C117&lt;=44, "Young Adult", C117&lt;=64, "Middle Aged", C117&lt;=84,"Young Old", C117&gt;=85,"Oldest Old")</f>
        <v>Young Adult</v>
      </c>
      <c r="E117" t="s">
        <v>18</v>
      </c>
      <c r="F117" s="4">
        <v>45377</v>
      </c>
      <c r="G117" s="4">
        <v>45379</v>
      </c>
      <c r="H117" s="7">
        <f t="shared" si="3"/>
        <v>2</v>
      </c>
      <c r="I117" t="s">
        <v>31</v>
      </c>
      <c r="J117" t="s">
        <v>87</v>
      </c>
      <c r="K117" s="2">
        <v>1068.76</v>
      </c>
      <c r="L117" s="9">
        <v>0.8</v>
      </c>
      <c r="M117" s="15">
        <f t="shared" si="4"/>
        <v>855.00800000000004</v>
      </c>
      <c r="N117" s="15">
        <f t="shared" si="5"/>
        <v>213.75199999999995</v>
      </c>
      <c r="O117" t="s">
        <v>15</v>
      </c>
    </row>
    <row r="118" spans="1:15" hidden="1" x14ac:dyDescent="0.35">
      <c r="A118" t="s">
        <v>279</v>
      </c>
      <c r="B118" t="s">
        <v>280</v>
      </c>
      <c r="C118">
        <v>45</v>
      </c>
      <c r="D118" s="8" t="str" cm="1">
        <f t="array" ref="D118">_xlfn.IFS(C118&lt;=2, "Infant", C118&lt;=11, "Child", C118&lt;=17, "Adolescent", C118&lt;=44, "Young Adult", C118&lt;=64, "Middle Aged", C118&lt;=84,"Young Old", C118&gt;=85,"Oldest Old")</f>
        <v>Middle Aged</v>
      </c>
      <c r="E118" t="s">
        <v>12</v>
      </c>
      <c r="F118" s="4">
        <v>45460</v>
      </c>
      <c r="G118" s="4">
        <v>45463</v>
      </c>
      <c r="H118" s="7">
        <f t="shared" si="3"/>
        <v>3</v>
      </c>
      <c r="I118" t="s">
        <v>23</v>
      </c>
      <c r="J118" t="s">
        <v>221</v>
      </c>
      <c r="K118" s="2">
        <v>2606.79</v>
      </c>
      <c r="L118" s="9">
        <v>0.7</v>
      </c>
      <c r="M118" s="15">
        <f t="shared" si="4"/>
        <v>1824.7529999999999</v>
      </c>
      <c r="N118" s="15">
        <f t="shared" si="5"/>
        <v>782.03700000000003</v>
      </c>
      <c r="O118" t="s">
        <v>20</v>
      </c>
    </row>
    <row r="119" spans="1:15" hidden="1" x14ac:dyDescent="0.35">
      <c r="A119" t="s">
        <v>281</v>
      </c>
      <c r="B119" t="s">
        <v>282</v>
      </c>
      <c r="C119">
        <v>2</v>
      </c>
      <c r="D119" s="8" t="str" cm="1">
        <f t="array" ref="D119">_xlfn.IFS(C119&lt;=2, "Infant", C119&lt;=11, "Child", C119&lt;=17, "Adolescent", C119&lt;=44, "Young Adult", C119&lt;=64, "Middle Aged", C119&lt;=84,"Young Old", C119&gt;=85,"Oldest Old")</f>
        <v>Infant</v>
      </c>
      <c r="E119" t="s">
        <v>18</v>
      </c>
      <c r="F119" s="4">
        <v>45821</v>
      </c>
      <c r="G119" s="4">
        <v>45823</v>
      </c>
      <c r="H119" s="7">
        <f t="shared" si="3"/>
        <v>2</v>
      </c>
      <c r="I119" t="s">
        <v>49</v>
      </c>
      <c r="J119" t="s">
        <v>50</v>
      </c>
      <c r="K119" s="2">
        <v>2856.34</v>
      </c>
      <c r="L119" s="9">
        <v>1</v>
      </c>
      <c r="M119" s="15">
        <f t="shared" si="4"/>
        <v>2856.34</v>
      </c>
      <c r="N119" s="15">
        <f t="shared" si="5"/>
        <v>0</v>
      </c>
      <c r="O119" t="s">
        <v>20</v>
      </c>
    </row>
    <row r="120" spans="1:15" hidden="1" x14ac:dyDescent="0.35">
      <c r="A120" t="s">
        <v>283</v>
      </c>
      <c r="B120" t="s">
        <v>284</v>
      </c>
      <c r="C120">
        <v>48</v>
      </c>
      <c r="D120" s="8" t="str" cm="1">
        <f t="array" ref="D120">_xlfn.IFS(C120&lt;=2, "Infant", C120&lt;=11, "Child", C120&lt;=17, "Adolescent", C120&lt;=44, "Young Adult", C120&lt;=64, "Middle Aged", C120&lt;=84,"Young Old", C120&gt;=85,"Oldest Old")</f>
        <v>Middle Aged</v>
      </c>
      <c r="E120" t="s">
        <v>18</v>
      </c>
      <c r="F120" s="4">
        <v>45478</v>
      </c>
      <c r="G120" s="4">
        <v>45486</v>
      </c>
      <c r="H120" s="7">
        <f t="shared" si="3"/>
        <v>8</v>
      </c>
      <c r="I120" t="s">
        <v>60</v>
      </c>
      <c r="J120" t="s">
        <v>97</v>
      </c>
      <c r="K120" s="2">
        <v>13136.54</v>
      </c>
      <c r="L120" s="9">
        <v>1</v>
      </c>
      <c r="M120" s="15">
        <f t="shared" si="4"/>
        <v>13136.54</v>
      </c>
      <c r="N120" s="15">
        <f t="shared" si="5"/>
        <v>0</v>
      </c>
      <c r="O120" t="s">
        <v>20</v>
      </c>
    </row>
    <row r="121" spans="1:15" hidden="1" x14ac:dyDescent="0.35">
      <c r="A121" t="s">
        <v>285</v>
      </c>
      <c r="B121" t="s">
        <v>286</v>
      </c>
      <c r="C121">
        <v>32</v>
      </c>
      <c r="D121" s="8" t="str" cm="1">
        <f t="array" ref="D121">_xlfn.IFS(C121&lt;=2, "Infant", C121&lt;=11, "Child", C121&lt;=17, "Adolescent", C121&lt;=44, "Young Adult", C121&lt;=64, "Middle Aged", C121&lt;=84,"Young Old", C121&gt;=85,"Oldest Old")</f>
        <v>Young Adult</v>
      </c>
      <c r="E121" t="s">
        <v>12</v>
      </c>
      <c r="F121" s="4">
        <v>45909</v>
      </c>
      <c r="G121" s="4">
        <v>45915</v>
      </c>
      <c r="H121" s="7">
        <f t="shared" si="3"/>
        <v>6</v>
      </c>
      <c r="I121" t="s">
        <v>60</v>
      </c>
      <c r="J121" t="s">
        <v>77</v>
      </c>
      <c r="K121" s="2">
        <v>10441.879999999999</v>
      </c>
      <c r="L121" s="9">
        <v>0.7</v>
      </c>
      <c r="M121" s="15">
        <f t="shared" si="4"/>
        <v>7309.3159999999989</v>
      </c>
      <c r="N121" s="15">
        <f t="shared" si="5"/>
        <v>3132.5640000000003</v>
      </c>
      <c r="O121" t="s">
        <v>20</v>
      </c>
    </row>
    <row r="122" spans="1:15" x14ac:dyDescent="0.35">
      <c r="A122" t="s">
        <v>287</v>
      </c>
      <c r="B122" t="s">
        <v>288</v>
      </c>
      <c r="C122">
        <v>39</v>
      </c>
      <c r="D122" s="8" t="str" cm="1">
        <f t="array" ref="D122">_xlfn.IFS(C122&lt;=2, "Infant", C122&lt;=11, "Child", C122&lt;=17, "Adolescent", C122&lt;=44, "Young Adult", C122&lt;=64, "Middle Aged", C122&lt;=84,"Young Old", C122&gt;=85,"Oldest Old")</f>
        <v>Young Adult</v>
      </c>
      <c r="E122" t="s">
        <v>12</v>
      </c>
      <c r="F122" s="4">
        <v>45529</v>
      </c>
      <c r="G122" s="4">
        <v>45536</v>
      </c>
      <c r="H122" s="7">
        <f t="shared" si="3"/>
        <v>7</v>
      </c>
      <c r="I122" t="s">
        <v>31</v>
      </c>
      <c r="J122" t="s">
        <v>32</v>
      </c>
      <c r="K122" s="2">
        <v>8804.17</v>
      </c>
      <c r="L122" s="9">
        <v>0.7</v>
      </c>
      <c r="M122" s="15">
        <f t="shared" si="4"/>
        <v>6162.9189999999999</v>
      </c>
      <c r="N122" s="15">
        <f t="shared" si="5"/>
        <v>2641.2510000000002</v>
      </c>
      <c r="O122" t="s">
        <v>20</v>
      </c>
    </row>
    <row r="123" spans="1:15" hidden="1" x14ac:dyDescent="0.35">
      <c r="A123" t="s">
        <v>289</v>
      </c>
      <c r="B123" t="s">
        <v>290</v>
      </c>
      <c r="C123">
        <v>14</v>
      </c>
      <c r="D123" s="8" t="str" cm="1">
        <f t="array" ref="D123">_xlfn.IFS(C123&lt;=2, "Infant", C123&lt;=11, "Child", C123&lt;=17, "Adolescent", C123&lt;=44, "Young Adult", C123&lt;=64, "Middle Aged", C123&lt;=84,"Young Old", C123&gt;=85,"Oldest Old")</f>
        <v>Adolescent</v>
      </c>
      <c r="E123" t="s">
        <v>12</v>
      </c>
      <c r="F123" s="4">
        <v>45433</v>
      </c>
      <c r="G123" s="4">
        <v>45438</v>
      </c>
      <c r="H123" s="7">
        <f t="shared" si="3"/>
        <v>5</v>
      </c>
      <c r="I123" t="s">
        <v>49</v>
      </c>
      <c r="J123" t="s">
        <v>130</v>
      </c>
      <c r="K123" s="2">
        <v>8692.2099999999991</v>
      </c>
      <c r="L123" s="9">
        <v>0.8</v>
      </c>
      <c r="M123" s="15">
        <f t="shared" si="4"/>
        <v>6953.768</v>
      </c>
      <c r="N123" s="15">
        <f t="shared" si="5"/>
        <v>1738.4419999999991</v>
      </c>
      <c r="O123" t="s">
        <v>20</v>
      </c>
    </row>
    <row r="124" spans="1:15" hidden="1" x14ac:dyDescent="0.35">
      <c r="A124" t="s">
        <v>291</v>
      </c>
      <c r="B124" t="s">
        <v>292</v>
      </c>
      <c r="C124">
        <v>77</v>
      </c>
      <c r="D124" s="8" t="str" cm="1">
        <f t="array" ref="D124">_xlfn.IFS(C124&lt;=2, "Infant", C124&lt;=11, "Child", C124&lt;=17, "Adolescent", C124&lt;=44, "Young Adult", C124&lt;=64, "Middle Aged", C124&lt;=84,"Young Old", C124&gt;=85,"Oldest Old")</f>
        <v>Young Old</v>
      </c>
      <c r="E124" t="s">
        <v>12</v>
      </c>
      <c r="F124" s="4">
        <v>45601</v>
      </c>
      <c r="G124" s="4">
        <v>45606</v>
      </c>
      <c r="H124" s="7">
        <f t="shared" si="3"/>
        <v>5</v>
      </c>
      <c r="I124" t="s">
        <v>13</v>
      </c>
      <c r="J124" t="s">
        <v>14</v>
      </c>
      <c r="K124" s="2">
        <v>8942.35</v>
      </c>
      <c r="L124" s="9">
        <v>0</v>
      </c>
      <c r="M124" s="15">
        <f t="shared" si="4"/>
        <v>0</v>
      </c>
      <c r="N124" s="15">
        <f t="shared" si="5"/>
        <v>8942.35</v>
      </c>
      <c r="O124" t="s">
        <v>15</v>
      </c>
    </row>
    <row r="125" spans="1:15" hidden="1" x14ac:dyDescent="0.35">
      <c r="A125" t="s">
        <v>293</v>
      </c>
      <c r="B125" t="s">
        <v>294</v>
      </c>
      <c r="C125">
        <v>59</v>
      </c>
      <c r="D125" s="8" t="str" cm="1">
        <f t="array" ref="D125">_xlfn.IFS(C125&lt;=2, "Infant", C125&lt;=11, "Child", C125&lt;=17, "Adolescent", C125&lt;=44, "Young Adult", C125&lt;=64, "Middle Aged", C125&lt;=84,"Young Old", C125&gt;=85,"Oldest Old")</f>
        <v>Middle Aged</v>
      </c>
      <c r="E125" t="s">
        <v>12</v>
      </c>
      <c r="F125" s="4">
        <v>45786</v>
      </c>
      <c r="G125" s="4">
        <v>45796</v>
      </c>
      <c r="H125" s="7">
        <f t="shared" si="3"/>
        <v>10</v>
      </c>
      <c r="I125" t="s">
        <v>70</v>
      </c>
      <c r="J125" t="s">
        <v>295</v>
      </c>
      <c r="K125" s="2">
        <v>17584.490000000002</v>
      </c>
      <c r="L125" s="9">
        <v>1</v>
      </c>
      <c r="M125" s="15">
        <f t="shared" si="4"/>
        <v>17584.490000000002</v>
      </c>
      <c r="N125" s="15">
        <f t="shared" si="5"/>
        <v>0</v>
      </c>
      <c r="O125" t="s">
        <v>25</v>
      </c>
    </row>
    <row r="126" spans="1:15" hidden="1" x14ac:dyDescent="0.35">
      <c r="A126" t="s">
        <v>296</v>
      </c>
      <c r="B126" t="s">
        <v>206</v>
      </c>
      <c r="C126">
        <v>84</v>
      </c>
      <c r="D126" s="8" t="str" cm="1">
        <f t="array" ref="D126">_xlfn.IFS(C126&lt;=2, "Infant", C126&lt;=11, "Child", C126&lt;=17, "Adolescent", C126&lt;=44, "Young Adult", C126&lt;=64, "Middle Aged", C126&lt;=84,"Young Old", C126&gt;=85,"Oldest Old")</f>
        <v>Young Old</v>
      </c>
      <c r="E126" t="s">
        <v>18</v>
      </c>
      <c r="F126" s="4">
        <v>45399</v>
      </c>
      <c r="G126" s="4">
        <v>45400</v>
      </c>
      <c r="H126" s="7">
        <f t="shared" si="3"/>
        <v>1</v>
      </c>
      <c r="I126" t="s">
        <v>23</v>
      </c>
      <c r="J126" t="s">
        <v>204</v>
      </c>
      <c r="K126" s="2">
        <v>1921.25</v>
      </c>
      <c r="L126" s="9">
        <v>0.5</v>
      </c>
      <c r="M126" s="15">
        <f t="shared" si="4"/>
        <v>960.625</v>
      </c>
      <c r="N126" s="15">
        <f t="shared" si="5"/>
        <v>960.625</v>
      </c>
      <c r="O126" t="s">
        <v>25</v>
      </c>
    </row>
    <row r="127" spans="1:15" hidden="1" x14ac:dyDescent="0.35">
      <c r="A127" t="s">
        <v>297</v>
      </c>
      <c r="B127" t="s">
        <v>298</v>
      </c>
      <c r="C127">
        <v>41</v>
      </c>
      <c r="D127" s="8" t="str" cm="1">
        <f t="array" ref="D127">_xlfn.IFS(C127&lt;=2, "Infant", C127&lt;=11, "Child", C127&lt;=17, "Adolescent", C127&lt;=44, "Young Adult", C127&lt;=64, "Middle Aged", C127&lt;=84,"Young Old", C127&gt;=85,"Oldest Old")</f>
        <v>Young Adult</v>
      </c>
      <c r="E127" t="s">
        <v>18</v>
      </c>
      <c r="F127" s="4">
        <v>45515</v>
      </c>
      <c r="G127" s="4">
        <v>45518</v>
      </c>
      <c r="H127" s="7">
        <f t="shared" si="3"/>
        <v>3</v>
      </c>
      <c r="I127" t="s">
        <v>70</v>
      </c>
      <c r="J127" t="s">
        <v>295</v>
      </c>
      <c r="K127" s="2">
        <v>6966.69</v>
      </c>
      <c r="L127" s="9">
        <v>0.7</v>
      </c>
      <c r="M127" s="15">
        <f t="shared" si="4"/>
        <v>4876.6829999999991</v>
      </c>
      <c r="N127" s="15">
        <f t="shared" si="5"/>
        <v>2090.0070000000005</v>
      </c>
      <c r="O127" t="s">
        <v>20</v>
      </c>
    </row>
    <row r="128" spans="1:15" hidden="1" x14ac:dyDescent="0.35">
      <c r="A128" t="s">
        <v>299</v>
      </c>
      <c r="B128" t="s">
        <v>300</v>
      </c>
      <c r="C128">
        <v>4</v>
      </c>
      <c r="D128" s="8" t="str" cm="1">
        <f t="array" ref="D128">_xlfn.IFS(C128&lt;=2, "Infant", C128&lt;=11, "Child", C128&lt;=17, "Adolescent", C128&lt;=44, "Young Adult", C128&lt;=64, "Middle Aged", C128&lt;=84,"Young Old", C128&gt;=85,"Oldest Old")</f>
        <v>Child</v>
      </c>
      <c r="E128" t="s">
        <v>18</v>
      </c>
      <c r="F128" s="4">
        <v>45390</v>
      </c>
      <c r="G128" s="4">
        <v>45394</v>
      </c>
      <c r="H128" s="7">
        <f t="shared" si="3"/>
        <v>4</v>
      </c>
      <c r="I128" t="s">
        <v>49</v>
      </c>
      <c r="J128" t="s">
        <v>130</v>
      </c>
      <c r="K128" s="2">
        <v>5715.35</v>
      </c>
      <c r="L128" s="9">
        <v>0.7</v>
      </c>
      <c r="M128" s="15">
        <f t="shared" si="4"/>
        <v>4000.7449999999999</v>
      </c>
      <c r="N128" s="15">
        <f t="shared" si="5"/>
        <v>1714.6050000000005</v>
      </c>
      <c r="O128" t="s">
        <v>15</v>
      </c>
    </row>
    <row r="129" spans="1:15" hidden="1" x14ac:dyDescent="0.35">
      <c r="A129" t="s">
        <v>301</v>
      </c>
      <c r="B129" t="s">
        <v>302</v>
      </c>
      <c r="C129">
        <v>48</v>
      </c>
      <c r="D129" s="8" t="str" cm="1">
        <f t="array" ref="D129">_xlfn.IFS(C129&lt;=2, "Infant", C129&lt;=11, "Child", C129&lt;=17, "Adolescent", C129&lt;=44, "Young Adult", C129&lt;=64, "Middle Aged", C129&lt;=84,"Young Old", C129&gt;=85,"Oldest Old")</f>
        <v>Middle Aged</v>
      </c>
      <c r="E129" t="s">
        <v>18</v>
      </c>
      <c r="F129" s="4">
        <v>45936</v>
      </c>
      <c r="G129" s="4">
        <v>45939</v>
      </c>
      <c r="H129" s="7">
        <f t="shared" si="3"/>
        <v>3</v>
      </c>
      <c r="I129" t="s">
        <v>23</v>
      </c>
      <c r="J129" t="s">
        <v>204</v>
      </c>
      <c r="K129" s="2">
        <v>4210.91</v>
      </c>
      <c r="L129" s="9">
        <v>0.9</v>
      </c>
      <c r="M129" s="15">
        <f t="shared" si="4"/>
        <v>3789.819</v>
      </c>
      <c r="N129" s="15">
        <f t="shared" si="5"/>
        <v>421.09099999999989</v>
      </c>
      <c r="O129" t="s">
        <v>15</v>
      </c>
    </row>
    <row r="130" spans="1:15" hidden="1" x14ac:dyDescent="0.35">
      <c r="A130" t="s">
        <v>303</v>
      </c>
      <c r="B130" t="s">
        <v>304</v>
      </c>
      <c r="C130">
        <v>62</v>
      </c>
      <c r="D130" s="8" t="str" cm="1">
        <f t="array" ref="D130">_xlfn.IFS(C130&lt;=2, "Infant", C130&lt;=11, "Child", C130&lt;=17, "Adolescent", C130&lt;=44, "Young Adult", C130&lt;=64, "Middle Aged", C130&lt;=84,"Young Old", C130&gt;=85,"Oldest Old")</f>
        <v>Middle Aged</v>
      </c>
      <c r="E130" t="s">
        <v>18</v>
      </c>
      <c r="F130" s="4">
        <v>45353</v>
      </c>
      <c r="G130" s="4">
        <v>45360</v>
      </c>
      <c r="H130" s="7">
        <f t="shared" si="3"/>
        <v>7</v>
      </c>
      <c r="I130" t="s">
        <v>13</v>
      </c>
      <c r="J130" t="s">
        <v>19</v>
      </c>
      <c r="K130" s="2">
        <v>11082.93</v>
      </c>
      <c r="L130" s="9">
        <v>0.5</v>
      </c>
      <c r="M130" s="15">
        <f t="shared" si="4"/>
        <v>5541.4650000000001</v>
      </c>
      <c r="N130" s="15">
        <f t="shared" si="5"/>
        <v>5541.4650000000001</v>
      </c>
      <c r="O130" t="s">
        <v>20</v>
      </c>
    </row>
    <row r="131" spans="1:15" hidden="1" x14ac:dyDescent="0.35">
      <c r="A131" t="s">
        <v>305</v>
      </c>
      <c r="B131" t="s">
        <v>306</v>
      </c>
      <c r="C131">
        <v>31</v>
      </c>
      <c r="D131" s="8" t="str" cm="1">
        <f t="array" ref="D131">_xlfn.IFS(C131&lt;=2, "Infant", C131&lt;=11, "Child", C131&lt;=17, "Adolescent", C131&lt;=44, "Young Adult", C131&lt;=64, "Middle Aged", C131&lt;=84,"Young Old", C131&gt;=85,"Oldest Old")</f>
        <v>Young Adult</v>
      </c>
      <c r="E131" t="s">
        <v>18</v>
      </c>
      <c r="F131" s="4">
        <v>45625</v>
      </c>
      <c r="G131" s="4">
        <v>45630</v>
      </c>
      <c r="H131" s="7">
        <f t="shared" ref="H131:H194" si="6">DATEDIF(F131,G131,"D")</f>
        <v>5</v>
      </c>
      <c r="I131" t="s">
        <v>31</v>
      </c>
      <c r="J131" t="s">
        <v>53</v>
      </c>
      <c r="K131" s="2">
        <v>6234.49</v>
      </c>
      <c r="L131" s="9">
        <v>1</v>
      </c>
      <c r="M131" s="15">
        <f t="shared" ref="M131:M194" si="7">L131*K131</f>
        <v>6234.49</v>
      </c>
      <c r="N131" s="15">
        <f t="shared" ref="N131:N194" si="8">K131-M131</f>
        <v>0</v>
      </c>
      <c r="O131" t="s">
        <v>20</v>
      </c>
    </row>
    <row r="132" spans="1:15" hidden="1" x14ac:dyDescent="0.35">
      <c r="A132" t="s">
        <v>307</v>
      </c>
      <c r="B132" t="s">
        <v>308</v>
      </c>
      <c r="C132">
        <v>65</v>
      </c>
      <c r="D132" s="8" t="str" cm="1">
        <f t="array" ref="D132">_xlfn.IFS(C132&lt;=2, "Infant", C132&lt;=11, "Child", C132&lt;=17, "Adolescent", C132&lt;=44, "Young Adult", C132&lt;=64, "Middle Aged", C132&lt;=84,"Young Old", C132&gt;=85,"Oldest Old")</f>
        <v>Young Old</v>
      </c>
      <c r="E132" t="s">
        <v>18</v>
      </c>
      <c r="F132" s="4">
        <v>45793</v>
      </c>
      <c r="G132" s="4">
        <v>45803</v>
      </c>
      <c r="H132" s="7">
        <f t="shared" si="6"/>
        <v>10</v>
      </c>
      <c r="I132" t="s">
        <v>70</v>
      </c>
      <c r="J132" t="s">
        <v>295</v>
      </c>
      <c r="K132" s="2">
        <v>17644.05</v>
      </c>
      <c r="L132" s="9">
        <v>0.6</v>
      </c>
      <c r="M132" s="15">
        <f t="shared" si="7"/>
        <v>10586.429999999998</v>
      </c>
      <c r="N132" s="15">
        <f t="shared" si="8"/>
        <v>7057.6200000000008</v>
      </c>
      <c r="O132" t="s">
        <v>15</v>
      </c>
    </row>
    <row r="133" spans="1:15" hidden="1" x14ac:dyDescent="0.35">
      <c r="A133" t="s">
        <v>309</v>
      </c>
      <c r="B133" t="s">
        <v>310</v>
      </c>
      <c r="C133">
        <v>80</v>
      </c>
      <c r="D133" s="8" t="str" cm="1">
        <f t="array" ref="D133">_xlfn.IFS(C133&lt;=2, "Infant", C133&lt;=11, "Child", C133&lt;=17, "Adolescent", C133&lt;=44, "Young Adult", C133&lt;=64, "Middle Aged", C133&lt;=84,"Young Old", C133&gt;=85,"Oldest Old")</f>
        <v>Young Old</v>
      </c>
      <c r="E133" t="s">
        <v>12</v>
      </c>
      <c r="F133" s="4">
        <v>45587</v>
      </c>
      <c r="G133" s="4">
        <v>45596</v>
      </c>
      <c r="H133" s="7">
        <f t="shared" si="6"/>
        <v>9</v>
      </c>
      <c r="I133" t="s">
        <v>70</v>
      </c>
      <c r="J133" t="s">
        <v>71</v>
      </c>
      <c r="K133" s="2">
        <v>11838.97</v>
      </c>
      <c r="L133" s="9">
        <v>0.7</v>
      </c>
      <c r="M133" s="15">
        <f t="shared" si="7"/>
        <v>8287.2789999999986</v>
      </c>
      <c r="N133" s="15">
        <f t="shared" si="8"/>
        <v>3551.6910000000007</v>
      </c>
      <c r="O133" t="s">
        <v>25</v>
      </c>
    </row>
    <row r="134" spans="1:15" hidden="1" x14ac:dyDescent="0.35">
      <c r="A134" t="s">
        <v>311</v>
      </c>
      <c r="B134" t="s">
        <v>312</v>
      </c>
      <c r="C134">
        <v>9</v>
      </c>
      <c r="D134" s="8" t="str" cm="1">
        <f t="array" ref="D134">_xlfn.IFS(C134&lt;=2, "Infant", C134&lt;=11, "Child", C134&lt;=17, "Adolescent", C134&lt;=44, "Young Adult", C134&lt;=64, "Middle Aged", C134&lt;=84,"Young Old", C134&gt;=85,"Oldest Old")</f>
        <v>Child</v>
      </c>
      <c r="E134" t="s">
        <v>12</v>
      </c>
      <c r="F134" s="4">
        <v>45589</v>
      </c>
      <c r="G134" s="4">
        <v>45592</v>
      </c>
      <c r="H134" s="7">
        <f t="shared" si="6"/>
        <v>3</v>
      </c>
      <c r="I134" t="s">
        <v>49</v>
      </c>
      <c r="J134" t="s">
        <v>123</v>
      </c>
      <c r="K134" s="2">
        <v>2139.13</v>
      </c>
      <c r="L134" s="9">
        <v>0.9</v>
      </c>
      <c r="M134" s="15">
        <f t="shared" si="7"/>
        <v>1925.2170000000001</v>
      </c>
      <c r="N134" s="15">
        <f t="shared" si="8"/>
        <v>213.91300000000001</v>
      </c>
      <c r="O134" t="s">
        <v>25</v>
      </c>
    </row>
    <row r="135" spans="1:15" hidden="1" x14ac:dyDescent="0.35">
      <c r="A135" t="s">
        <v>313</v>
      </c>
      <c r="B135" t="s">
        <v>314</v>
      </c>
      <c r="C135">
        <v>48</v>
      </c>
      <c r="D135" s="8" t="str" cm="1">
        <f t="array" ref="D135">_xlfn.IFS(C135&lt;=2, "Infant", C135&lt;=11, "Child", C135&lt;=17, "Adolescent", C135&lt;=44, "Young Adult", C135&lt;=64, "Middle Aged", C135&lt;=84,"Young Old", C135&gt;=85,"Oldest Old")</f>
        <v>Middle Aged</v>
      </c>
      <c r="E135" t="s">
        <v>18</v>
      </c>
      <c r="F135" s="4">
        <v>45436</v>
      </c>
      <c r="G135" s="4">
        <v>45443</v>
      </c>
      <c r="H135" s="7">
        <f t="shared" si="6"/>
        <v>7</v>
      </c>
      <c r="I135" t="s">
        <v>13</v>
      </c>
      <c r="J135" t="s">
        <v>38</v>
      </c>
      <c r="K135" s="2">
        <v>10657.18</v>
      </c>
      <c r="L135" s="9">
        <v>1</v>
      </c>
      <c r="M135" s="15">
        <f t="shared" si="7"/>
        <v>10657.18</v>
      </c>
      <c r="N135" s="15">
        <f t="shared" si="8"/>
        <v>0</v>
      </c>
      <c r="O135" t="s">
        <v>15</v>
      </c>
    </row>
    <row r="136" spans="1:15" hidden="1" x14ac:dyDescent="0.35">
      <c r="A136" t="s">
        <v>315</v>
      </c>
      <c r="B136" t="s">
        <v>316</v>
      </c>
      <c r="C136">
        <v>83</v>
      </c>
      <c r="D136" s="8" t="str" cm="1">
        <f t="array" ref="D136">_xlfn.IFS(C136&lt;=2, "Infant", C136&lt;=11, "Child", C136&lt;=17, "Adolescent", C136&lt;=44, "Young Adult", C136&lt;=64, "Middle Aged", C136&lt;=84,"Young Old", C136&gt;=85,"Oldest Old")</f>
        <v>Young Old</v>
      </c>
      <c r="E136" t="s">
        <v>18</v>
      </c>
      <c r="F136" s="4">
        <v>45899</v>
      </c>
      <c r="G136" s="4">
        <v>45905</v>
      </c>
      <c r="H136" s="7">
        <f t="shared" si="6"/>
        <v>6</v>
      </c>
      <c r="I136" t="s">
        <v>13</v>
      </c>
      <c r="J136" t="s">
        <v>165</v>
      </c>
      <c r="K136" s="2">
        <v>17707.36</v>
      </c>
      <c r="L136" s="9">
        <v>0.9</v>
      </c>
      <c r="M136" s="15">
        <f t="shared" si="7"/>
        <v>15936.624000000002</v>
      </c>
      <c r="N136" s="15">
        <f t="shared" si="8"/>
        <v>1770.735999999999</v>
      </c>
      <c r="O136" t="s">
        <v>15</v>
      </c>
    </row>
    <row r="137" spans="1:15" hidden="1" x14ac:dyDescent="0.35">
      <c r="A137" t="s">
        <v>317</v>
      </c>
      <c r="B137" t="s">
        <v>318</v>
      </c>
      <c r="C137">
        <v>57</v>
      </c>
      <c r="D137" s="8" t="str" cm="1">
        <f t="array" ref="D137">_xlfn.IFS(C137&lt;=2, "Infant", C137&lt;=11, "Child", C137&lt;=17, "Adolescent", C137&lt;=44, "Young Adult", C137&lt;=64, "Middle Aged", C137&lt;=84,"Young Old", C137&gt;=85,"Oldest Old")</f>
        <v>Middle Aged</v>
      </c>
      <c r="E137" t="s">
        <v>12</v>
      </c>
      <c r="F137" s="4">
        <v>45619</v>
      </c>
      <c r="G137" s="4">
        <v>45632</v>
      </c>
      <c r="H137" s="7">
        <f t="shared" si="6"/>
        <v>13</v>
      </c>
      <c r="I137" t="s">
        <v>60</v>
      </c>
      <c r="J137" t="s">
        <v>97</v>
      </c>
      <c r="K137" s="2">
        <v>31874.83</v>
      </c>
      <c r="L137" s="9">
        <v>0.9</v>
      </c>
      <c r="M137" s="15">
        <f t="shared" si="7"/>
        <v>28687.347000000002</v>
      </c>
      <c r="N137" s="15">
        <f t="shared" si="8"/>
        <v>3187.4830000000002</v>
      </c>
      <c r="O137" t="s">
        <v>20</v>
      </c>
    </row>
    <row r="138" spans="1:15" hidden="1" x14ac:dyDescent="0.35">
      <c r="A138" t="s">
        <v>319</v>
      </c>
      <c r="B138" t="s">
        <v>320</v>
      </c>
      <c r="C138">
        <v>50</v>
      </c>
      <c r="D138" s="8" t="str" cm="1">
        <f t="array" ref="D138">_xlfn.IFS(C138&lt;=2, "Infant", C138&lt;=11, "Child", C138&lt;=17, "Adolescent", C138&lt;=44, "Young Adult", C138&lt;=64, "Middle Aged", C138&lt;=84,"Young Old", C138&gt;=85,"Oldest Old")</f>
        <v>Middle Aged</v>
      </c>
      <c r="E138" t="s">
        <v>18</v>
      </c>
      <c r="F138" s="4">
        <v>45458</v>
      </c>
      <c r="G138" s="4">
        <v>45464</v>
      </c>
      <c r="H138" s="7">
        <f t="shared" si="6"/>
        <v>6</v>
      </c>
      <c r="I138" t="s">
        <v>31</v>
      </c>
      <c r="J138" t="s">
        <v>53</v>
      </c>
      <c r="K138" s="2">
        <v>5681.44</v>
      </c>
      <c r="L138" s="9">
        <v>0.7</v>
      </c>
      <c r="M138" s="15">
        <f t="shared" si="7"/>
        <v>3977.0079999999994</v>
      </c>
      <c r="N138" s="15">
        <f t="shared" si="8"/>
        <v>1704.4320000000002</v>
      </c>
      <c r="O138" t="s">
        <v>15</v>
      </c>
    </row>
    <row r="139" spans="1:15" hidden="1" x14ac:dyDescent="0.35">
      <c r="A139" t="s">
        <v>321</v>
      </c>
      <c r="B139" t="s">
        <v>322</v>
      </c>
      <c r="C139">
        <v>58</v>
      </c>
      <c r="D139" s="8" t="str" cm="1">
        <f t="array" ref="D139">_xlfn.IFS(C139&lt;=2, "Infant", C139&lt;=11, "Child", C139&lt;=17, "Adolescent", C139&lt;=44, "Young Adult", C139&lt;=64, "Middle Aged", C139&lt;=84,"Young Old", C139&gt;=85,"Oldest Old")</f>
        <v>Middle Aged</v>
      </c>
      <c r="E139" t="s">
        <v>18</v>
      </c>
      <c r="F139" s="4">
        <v>45841</v>
      </c>
      <c r="G139" s="4">
        <v>45848</v>
      </c>
      <c r="H139" s="7">
        <f t="shared" si="6"/>
        <v>7</v>
      </c>
      <c r="I139" t="s">
        <v>13</v>
      </c>
      <c r="J139" t="s">
        <v>14</v>
      </c>
      <c r="K139" s="2">
        <v>17588.68</v>
      </c>
      <c r="L139" s="9">
        <v>0.9</v>
      </c>
      <c r="M139" s="15">
        <f t="shared" si="7"/>
        <v>15829.812</v>
      </c>
      <c r="N139" s="15">
        <f t="shared" si="8"/>
        <v>1758.8680000000004</v>
      </c>
      <c r="O139" t="s">
        <v>15</v>
      </c>
    </row>
    <row r="140" spans="1:15" hidden="1" x14ac:dyDescent="0.35">
      <c r="A140" t="s">
        <v>323</v>
      </c>
      <c r="B140" t="s">
        <v>324</v>
      </c>
      <c r="C140">
        <v>58</v>
      </c>
      <c r="D140" s="8" t="str" cm="1">
        <f t="array" ref="D140">_xlfn.IFS(C140&lt;=2, "Infant", C140&lt;=11, "Child", C140&lt;=17, "Adolescent", C140&lt;=44, "Young Adult", C140&lt;=64, "Middle Aged", C140&lt;=84,"Young Old", C140&gt;=85,"Oldest Old")</f>
        <v>Middle Aged</v>
      </c>
      <c r="E140" t="s">
        <v>12</v>
      </c>
      <c r="F140" s="4">
        <v>45749</v>
      </c>
      <c r="G140" s="4">
        <v>45751</v>
      </c>
      <c r="H140" s="7">
        <f t="shared" si="6"/>
        <v>2</v>
      </c>
      <c r="I140" t="s">
        <v>31</v>
      </c>
      <c r="J140" t="s">
        <v>234</v>
      </c>
      <c r="K140" s="2">
        <v>1113.6199999999999</v>
      </c>
      <c r="L140" s="9">
        <v>0.8</v>
      </c>
      <c r="M140" s="15">
        <f t="shared" si="7"/>
        <v>890.89599999999996</v>
      </c>
      <c r="N140" s="15">
        <f t="shared" si="8"/>
        <v>222.72399999999993</v>
      </c>
      <c r="O140" t="s">
        <v>15</v>
      </c>
    </row>
    <row r="141" spans="1:15" hidden="1" x14ac:dyDescent="0.35">
      <c r="A141" t="s">
        <v>325</v>
      </c>
      <c r="B141" t="s">
        <v>326</v>
      </c>
      <c r="C141">
        <v>60</v>
      </c>
      <c r="D141" s="8" t="str" cm="1">
        <f t="array" ref="D141">_xlfn.IFS(C141&lt;=2, "Infant", C141&lt;=11, "Child", C141&lt;=17, "Adolescent", C141&lt;=44, "Young Adult", C141&lt;=64, "Middle Aged", C141&lt;=84,"Young Old", C141&gt;=85,"Oldest Old")</f>
        <v>Middle Aged</v>
      </c>
      <c r="E141" t="s">
        <v>12</v>
      </c>
      <c r="F141" s="4">
        <v>45465</v>
      </c>
      <c r="G141" s="4">
        <v>45470</v>
      </c>
      <c r="H141" s="7">
        <f t="shared" si="6"/>
        <v>5</v>
      </c>
      <c r="I141" t="s">
        <v>31</v>
      </c>
      <c r="J141" t="s">
        <v>234</v>
      </c>
      <c r="K141" s="2">
        <v>3222.62</v>
      </c>
      <c r="L141" s="9">
        <v>0.9</v>
      </c>
      <c r="M141" s="15">
        <f t="shared" si="7"/>
        <v>2900.3580000000002</v>
      </c>
      <c r="N141" s="15">
        <f t="shared" si="8"/>
        <v>322.26199999999972</v>
      </c>
      <c r="O141" t="s">
        <v>20</v>
      </c>
    </row>
    <row r="142" spans="1:15" x14ac:dyDescent="0.35">
      <c r="A142" t="s">
        <v>327</v>
      </c>
      <c r="B142" t="s">
        <v>328</v>
      </c>
      <c r="C142">
        <v>53</v>
      </c>
      <c r="D142" s="8" t="str" cm="1">
        <f t="array" ref="D142">_xlfn.IFS(C142&lt;=2, "Infant", C142&lt;=11, "Child", C142&lt;=17, "Adolescent", C142&lt;=44, "Young Adult", C142&lt;=64, "Middle Aged", C142&lt;=84,"Young Old", C142&gt;=85,"Oldest Old")</f>
        <v>Middle Aged</v>
      </c>
      <c r="E142" t="s">
        <v>18</v>
      </c>
      <c r="F142" s="4">
        <v>45481</v>
      </c>
      <c r="G142" s="4">
        <v>45486</v>
      </c>
      <c r="H142" s="7">
        <f t="shared" si="6"/>
        <v>5</v>
      </c>
      <c r="I142" t="s">
        <v>31</v>
      </c>
      <c r="J142" t="s">
        <v>32</v>
      </c>
      <c r="K142" s="2">
        <v>4276.67</v>
      </c>
      <c r="L142" s="9">
        <v>0.5</v>
      </c>
      <c r="M142" s="15">
        <f t="shared" si="7"/>
        <v>2138.335</v>
      </c>
      <c r="N142" s="15">
        <f t="shared" si="8"/>
        <v>2138.335</v>
      </c>
      <c r="O142" t="s">
        <v>15</v>
      </c>
    </row>
    <row r="143" spans="1:15" hidden="1" x14ac:dyDescent="0.35">
      <c r="A143" t="s">
        <v>329</v>
      </c>
      <c r="B143" t="s">
        <v>330</v>
      </c>
      <c r="C143">
        <v>37</v>
      </c>
      <c r="D143" s="8" t="str" cm="1">
        <f t="array" ref="D143">_xlfn.IFS(C143&lt;=2, "Infant", C143&lt;=11, "Child", C143&lt;=17, "Adolescent", C143&lt;=44, "Young Adult", C143&lt;=64, "Middle Aged", C143&lt;=84,"Young Old", C143&gt;=85,"Oldest Old")</f>
        <v>Young Adult</v>
      </c>
      <c r="E143" t="s">
        <v>18</v>
      </c>
      <c r="F143" s="4">
        <v>45754</v>
      </c>
      <c r="G143" s="4">
        <v>45758</v>
      </c>
      <c r="H143" s="7">
        <f t="shared" si="6"/>
        <v>4</v>
      </c>
      <c r="I143" t="s">
        <v>31</v>
      </c>
      <c r="J143" t="s">
        <v>53</v>
      </c>
      <c r="K143" s="2">
        <v>2378.61</v>
      </c>
      <c r="L143" s="9">
        <v>0.7</v>
      </c>
      <c r="M143" s="15">
        <f t="shared" si="7"/>
        <v>1665.027</v>
      </c>
      <c r="N143" s="15">
        <f t="shared" si="8"/>
        <v>713.58300000000008</v>
      </c>
      <c r="O143" t="s">
        <v>15</v>
      </c>
    </row>
    <row r="144" spans="1:15" hidden="1" x14ac:dyDescent="0.35">
      <c r="A144" t="s">
        <v>331</v>
      </c>
      <c r="B144" t="s">
        <v>332</v>
      </c>
      <c r="C144">
        <v>52</v>
      </c>
      <c r="D144" s="8" t="str" cm="1">
        <f t="array" ref="D144">_xlfn.IFS(C144&lt;=2, "Infant", C144&lt;=11, "Child", C144&lt;=17, "Adolescent", C144&lt;=44, "Young Adult", C144&lt;=64, "Middle Aged", C144&lt;=84,"Young Old", C144&gt;=85,"Oldest Old")</f>
        <v>Middle Aged</v>
      </c>
      <c r="E144" t="s">
        <v>12</v>
      </c>
      <c r="F144" s="4">
        <v>45295</v>
      </c>
      <c r="G144" s="4">
        <v>45296</v>
      </c>
      <c r="H144" s="7">
        <f t="shared" si="6"/>
        <v>1</v>
      </c>
      <c r="I144" t="s">
        <v>23</v>
      </c>
      <c r="J144" t="s">
        <v>333</v>
      </c>
      <c r="K144" s="2">
        <v>1802.47</v>
      </c>
      <c r="L144" s="9">
        <v>0.7</v>
      </c>
      <c r="M144" s="15">
        <f t="shared" si="7"/>
        <v>1261.729</v>
      </c>
      <c r="N144" s="15">
        <f t="shared" si="8"/>
        <v>540.74099999999999</v>
      </c>
      <c r="O144" t="s">
        <v>25</v>
      </c>
    </row>
    <row r="145" spans="1:15" hidden="1" x14ac:dyDescent="0.35">
      <c r="A145" t="s">
        <v>334</v>
      </c>
      <c r="B145" t="s">
        <v>335</v>
      </c>
      <c r="C145">
        <v>64</v>
      </c>
      <c r="D145" s="8" t="str" cm="1">
        <f t="array" ref="D145">_xlfn.IFS(C145&lt;=2, "Infant", C145&lt;=11, "Child", C145&lt;=17, "Adolescent", C145&lt;=44, "Young Adult", C145&lt;=64, "Middle Aged", C145&lt;=84,"Young Old", C145&gt;=85,"Oldest Old")</f>
        <v>Middle Aged</v>
      </c>
      <c r="E145" t="s">
        <v>18</v>
      </c>
      <c r="F145" s="4">
        <v>45414</v>
      </c>
      <c r="G145" s="4">
        <v>45423</v>
      </c>
      <c r="H145" s="7">
        <f t="shared" si="6"/>
        <v>9</v>
      </c>
      <c r="I145" t="s">
        <v>13</v>
      </c>
      <c r="J145" t="s">
        <v>165</v>
      </c>
      <c r="K145" s="2">
        <v>26472.01</v>
      </c>
      <c r="L145" s="9">
        <v>0.6</v>
      </c>
      <c r="M145" s="15">
        <f t="shared" si="7"/>
        <v>15883.205999999998</v>
      </c>
      <c r="N145" s="15">
        <f t="shared" si="8"/>
        <v>10588.804</v>
      </c>
      <c r="O145" t="s">
        <v>25</v>
      </c>
    </row>
    <row r="146" spans="1:15" hidden="1" x14ac:dyDescent="0.35">
      <c r="A146" t="s">
        <v>336</v>
      </c>
      <c r="B146" t="s">
        <v>337</v>
      </c>
      <c r="C146">
        <v>31</v>
      </c>
      <c r="D146" s="8" t="str" cm="1">
        <f t="array" ref="D146">_xlfn.IFS(C146&lt;=2, "Infant", C146&lt;=11, "Child", C146&lt;=17, "Adolescent", C146&lt;=44, "Young Adult", C146&lt;=64, "Middle Aged", C146&lt;=84,"Young Old", C146&gt;=85,"Oldest Old")</f>
        <v>Young Adult</v>
      </c>
      <c r="E146" t="s">
        <v>12</v>
      </c>
      <c r="F146" s="4">
        <v>45861</v>
      </c>
      <c r="G146" s="4">
        <v>45870</v>
      </c>
      <c r="H146" s="7">
        <f t="shared" si="6"/>
        <v>9</v>
      </c>
      <c r="I146" t="s">
        <v>70</v>
      </c>
      <c r="J146" t="s">
        <v>295</v>
      </c>
      <c r="K146" s="2">
        <v>15209.42</v>
      </c>
      <c r="L146" s="9">
        <v>0.8</v>
      </c>
      <c r="M146" s="15">
        <f t="shared" si="7"/>
        <v>12167.536</v>
      </c>
      <c r="N146" s="15">
        <f t="shared" si="8"/>
        <v>3041.884</v>
      </c>
      <c r="O146" t="s">
        <v>20</v>
      </c>
    </row>
    <row r="147" spans="1:15" hidden="1" x14ac:dyDescent="0.35">
      <c r="A147" t="s">
        <v>338</v>
      </c>
      <c r="B147" t="s">
        <v>22</v>
      </c>
      <c r="C147">
        <v>54</v>
      </c>
      <c r="D147" s="8" t="str" cm="1">
        <f t="array" ref="D147">_xlfn.IFS(C147&lt;=2, "Infant", C147&lt;=11, "Child", C147&lt;=17, "Adolescent", C147&lt;=44, "Young Adult", C147&lt;=64, "Middle Aged", C147&lt;=84,"Young Old", C147&gt;=85,"Oldest Old")</f>
        <v>Middle Aged</v>
      </c>
      <c r="E147" t="s">
        <v>18</v>
      </c>
      <c r="F147" s="4">
        <v>45849</v>
      </c>
      <c r="G147" s="4">
        <v>45850</v>
      </c>
      <c r="H147" s="7">
        <f t="shared" si="6"/>
        <v>1</v>
      </c>
      <c r="I147" t="s">
        <v>31</v>
      </c>
      <c r="J147" t="s">
        <v>53</v>
      </c>
      <c r="K147" s="2">
        <v>683.93</v>
      </c>
      <c r="L147" s="9">
        <v>0</v>
      </c>
      <c r="M147" s="15">
        <f t="shared" si="7"/>
        <v>0</v>
      </c>
      <c r="N147" s="15">
        <f t="shared" si="8"/>
        <v>683.93</v>
      </c>
      <c r="O147" t="s">
        <v>20</v>
      </c>
    </row>
    <row r="148" spans="1:15" hidden="1" x14ac:dyDescent="0.35">
      <c r="A148" t="s">
        <v>339</v>
      </c>
      <c r="B148" t="s">
        <v>340</v>
      </c>
      <c r="C148">
        <v>77</v>
      </c>
      <c r="D148" s="8" t="str" cm="1">
        <f t="array" ref="D148">_xlfn.IFS(C148&lt;=2, "Infant", C148&lt;=11, "Child", C148&lt;=17, "Adolescent", C148&lt;=44, "Young Adult", C148&lt;=64, "Middle Aged", C148&lt;=84,"Young Old", C148&gt;=85,"Oldest Old")</f>
        <v>Young Old</v>
      </c>
      <c r="E148" t="s">
        <v>18</v>
      </c>
      <c r="F148" s="4">
        <v>45382</v>
      </c>
      <c r="G148" s="4">
        <v>45386</v>
      </c>
      <c r="H148" s="7">
        <f t="shared" si="6"/>
        <v>4</v>
      </c>
      <c r="I148" t="s">
        <v>31</v>
      </c>
      <c r="J148" t="s">
        <v>87</v>
      </c>
      <c r="K148" s="2">
        <v>2163.62</v>
      </c>
      <c r="L148" s="9">
        <v>0.6</v>
      </c>
      <c r="M148" s="15">
        <f t="shared" si="7"/>
        <v>1298.1719999999998</v>
      </c>
      <c r="N148" s="15">
        <f t="shared" si="8"/>
        <v>865.44800000000009</v>
      </c>
      <c r="O148" t="s">
        <v>15</v>
      </c>
    </row>
    <row r="149" spans="1:15" hidden="1" x14ac:dyDescent="0.35">
      <c r="A149" t="s">
        <v>341</v>
      </c>
      <c r="B149" t="s">
        <v>342</v>
      </c>
      <c r="C149">
        <v>28</v>
      </c>
      <c r="D149" s="8" t="str" cm="1">
        <f t="array" ref="D149">_xlfn.IFS(C149&lt;=2, "Infant", C149&lt;=11, "Child", C149&lt;=17, "Adolescent", C149&lt;=44, "Young Adult", C149&lt;=64, "Middle Aged", C149&lt;=84,"Young Old", C149&gt;=85,"Oldest Old")</f>
        <v>Young Adult</v>
      </c>
      <c r="E149" t="s">
        <v>18</v>
      </c>
      <c r="F149" s="4">
        <v>45904</v>
      </c>
      <c r="G149" s="4">
        <v>45907</v>
      </c>
      <c r="H149" s="7">
        <f t="shared" si="6"/>
        <v>3</v>
      </c>
      <c r="I149" t="s">
        <v>23</v>
      </c>
      <c r="J149" t="s">
        <v>82</v>
      </c>
      <c r="K149" s="2">
        <v>7033.75</v>
      </c>
      <c r="L149" s="9">
        <v>0.9</v>
      </c>
      <c r="M149" s="15">
        <f t="shared" si="7"/>
        <v>6330.375</v>
      </c>
      <c r="N149" s="15">
        <f t="shared" si="8"/>
        <v>703.375</v>
      </c>
      <c r="O149" t="s">
        <v>15</v>
      </c>
    </row>
    <row r="150" spans="1:15" hidden="1" x14ac:dyDescent="0.35">
      <c r="A150" t="s">
        <v>343</v>
      </c>
      <c r="B150" t="s">
        <v>344</v>
      </c>
      <c r="C150">
        <v>57</v>
      </c>
      <c r="D150" s="8" t="str" cm="1">
        <f t="array" ref="D150">_xlfn.IFS(C150&lt;=2, "Infant", C150&lt;=11, "Child", C150&lt;=17, "Adolescent", C150&lt;=44, "Young Adult", C150&lt;=64, "Middle Aged", C150&lt;=84,"Young Old", C150&gt;=85,"Oldest Old")</f>
        <v>Middle Aged</v>
      </c>
      <c r="E150" t="s">
        <v>18</v>
      </c>
      <c r="F150" s="4">
        <v>45647</v>
      </c>
      <c r="G150" s="4">
        <v>45652</v>
      </c>
      <c r="H150" s="7">
        <f t="shared" si="6"/>
        <v>5</v>
      </c>
      <c r="I150" t="s">
        <v>13</v>
      </c>
      <c r="J150" t="s">
        <v>102</v>
      </c>
      <c r="K150" s="2">
        <v>9216.99</v>
      </c>
      <c r="L150" s="9">
        <v>1</v>
      </c>
      <c r="M150" s="15">
        <f t="shared" si="7"/>
        <v>9216.99</v>
      </c>
      <c r="N150" s="15">
        <f t="shared" si="8"/>
        <v>0</v>
      </c>
      <c r="O150" t="s">
        <v>15</v>
      </c>
    </row>
    <row r="151" spans="1:15" hidden="1" x14ac:dyDescent="0.35">
      <c r="A151" t="s">
        <v>345</v>
      </c>
      <c r="B151" t="s">
        <v>346</v>
      </c>
      <c r="C151">
        <v>32</v>
      </c>
      <c r="D151" s="8" t="str" cm="1">
        <f t="array" ref="D151">_xlfn.IFS(C151&lt;=2, "Infant", C151&lt;=11, "Child", C151&lt;=17, "Adolescent", C151&lt;=44, "Young Adult", C151&lt;=64, "Middle Aged", C151&lt;=84,"Young Old", C151&gt;=85,"Oldest Old")</f>
        <v>Young Adult</v>
      </c>
      <c r="E151" t="s">
        <v>18</v>
      </c>
      <c r="F151" s="4">
        <v>45778</v>
      </c>
      <c r="G151" s="4">
        <v>45780</v>
      </c>
      <c r="H151" s="7">
        <f t="shared" si="6"/>
        <v>2</v>
      </c>
      <c r="I151" t="s">
        <v>31</v>
      </c>
      <c r="J151" t="s">
        <v>53</v>
      </c>
      <c r="K151" s="2">
        <v>1561.35</v>
      </c>
      <c r="L151" s="9">
        <v>0.9</v>
      </c>
      <c r="M151" s="15">
        <f t="shared" si="7"/>
        <v>1405.2149999999999</v>
      </c>
      <c r="N151" s="15">
        <f t="shared" si="8"/>
        <v>156.13499999999999</v>
      </c>
      <c r="O151" t="s">
        <v>25</v>
      </c>
    </row>
    <row r="152" spans="1:15" hidden="1" x14ac:dyDescent="0.35">
      <c r="A152" t="s">
        <v>347</v>
      </c>
      <c r="B152" t="s">
        <v>348</v>
      </c>
      <c r="C152">
        <v>41</v>
      </c>
      <c r="D152" s="8" t="str" cm="1">
        <f t="array" ref="D152">_xlfn.IFS(C152&lt;=2, "Infant", C152&lt;=11, "Child", C152&lt;=17, "Adolescent", C152&lt;=44, "Young Adult", C152&lt;=64, "Middle Aged", C152&lt;=84,"Young Old", C152&gt;=85,"Oldest Old")</f>
        <v>Young Adult</v>
      </c>
      <c r="E152" t="s">
        <v>18</v>
      </c>
      <c r="F152" s="4">
        <v>45849</v>
      </c>
      <c r="G152" s="4">
        <v>45858</v>
      </c>
      <c r="H152" s="7">
        <f t="shared" si="6"/>
        <v>9</v>
      </c>
      <c r="I152" t="s">
        <v>13</v>
      </c>
      <c r="J152" t="s">
        <v>14</v>
      </c>
      <c r="K152" s="2">
        <v>24856.18</v>
      </c>
      <c r="L152" s="9">
        <v>1</v>
      </c>
      <c r="M152" s="15">
        <f t="shared" si="7"/>
        <v>24856.18</v>
      </c>
      <c r="N152" s="15">
        <f t="shared" si="8"/>
        <v>0</v>
      </c>
      <c r="O152" t="s">
        <v>15</v>
      </c>
    </row>
    <row r="153" spans="1:15" hidden="1" x14ac:dyDescent="0.35">
      <c r="A153" t="s">
        <v>349</v>
      </c>
      <c r="B153" t="s">
        <v>350</v>
      </c>
      <c r="C153">
        <v>43</v>
      </c>
      <c r="D153" s="8" t="str" cm="1">
        <f t="array" ref="D153">_xlfn.IFS(C153&lt;=2, "Infant", C153&lt;=11, "Child", C153&lt;=17, "Adolescent", C153&lt;=44, "Young Adult", C153&lt;=64, "Middle Aged", C153&lt;=84,"Young Old", C153&gt;=85,"Oldest Old")</f>
        <v>Young Adult</v>
      </c>
      <c r="E153" t="s">
        <v>12</v>
      </c>
      <c r="F153" s="4">
        <v>45799</v>
      </c>
      <c r="G153" s="4">
        <v>45801</v>
      </c>
      <c r="H153" s="7">
        <f t="shared" si="6"/>
        <v>2</v>
      </c>
      <c r="I153" t="s">
        <v>23</v>
      </c>
      <c r="J153" t="s">
        <v>82</v>
      </c>
      <c r="K153" s="2">
        <v>2493.0500000000002</v>
      </c>
      <c r="L153" s="9">
        <v>0.9</v>
      </c>
      <c r="M153" s="15">
        <f t="shared" si="7"/>
        <v>2243.7450000000003</v>
      </c>
      <c r="N153" s="15">
        <f t="shared" si="8"/>
        <v>249.30499999999984</v>
      </c>
      <c r="O153" t="s">
        <v>15</v>
      </c>
    </row>
    <row r="154" spans="1:15" hidden="1" x14ac:dyDescent="0.35">
      <c r="A154" t="s">
        <v>351</v>
      </c>
      <c r="B154" t="s">
        <v>352</v>
      </c>
      <c r="C154">
        <v>49</v>
      </c>
      <c r="D154" s="8" t="str" cm="1">
        <f t="array" ref="D154">_xlfn.IFS(C154&lt;=2, "Infant", C154&lt;=11, "Child", C154&lt;=17, "Adolescent", C154&lt;=44, "Young Adult", C154&lt;=64, "Middle Aged", C154&lt;=84,"Young Old", C154&gt;=85,"Oldest Old")</f>
        <v>Middle Aged</v>
      </c>
      <c r="E154" t="s">
        <v>12</v>
      </c>
      <c r="F154" s="4">
        <v>45400</v>
      </c>
      <c r="G154" s="4">
        <v>45403</v>
      </c>
      <c r="H154" s="7">
        <f t="shared" si="6"/>
        <v>3</v>
      </c>
      <c r="I154" t="s">
        <v>23</v>
      </c>
      <c r="J154" t="s">
        <v>41</v>
      </c>
      <c r="K154" s="2">
        <v>5177.47</v>
      </c>
      <c r="L154" s="9">
        <v>0.6</v>
      </c>
      <c r="M154" s="15">
        <f t="shared" si="7"/>
        <v>3106.482</v>
      </c>
      <c r="N154" s="15">
        <f t="shared" si="8"/>
        <v>2070.9880000000003</v>
      </c>
      <c r="O154" t="s">
        <v>15</v>
      </c>
    </row>
    <row r="155" spans="1:15" hidden="1" x14ac:dyDescent="0.35">
      <c r="A155" t="s">
        <v>353</v>
      </c>
      <c r="B155" t="s">
        <v>354</v>
      </c>
      <c r="C155">
        <v>75</v>
      </c>
      <c r="D155" s="8" t="str" cm="1">
        <f t="array" ref="D155">_xlfn.IFS(C155&lt;=2, "Infant", C155&lt;=11, "Child", C155&lt;=17, "Adolescent", C155&lt;=44, "Young Adult", C155&lt;=64, "Middle Aged", C155&lt;=84,"Young Old", C155&gt;=85,"Oldest Old")</f>
        <v>Young Old</v>
      </c>
      <c r="E155" t="s">
        <v>18</v>
      </c>
      <c r="F155" s="4">
        <v>45745</v>
      </c>
      <c r="G155" s="4">
        <v>45753</v>
      </c>
      <c r="H155" s="7">
        <f t="shared" si="6"/>
        <v>8</v>
      </c>
      <c r="I155" t="s">
        <v>60</v>
      </c>
      <c r="J155" t="s">
        <v>74</v>
      </c>
      <c r="K155" s="2">
        <v>12122.8</v>
      </c>
      <c r="L155" s="9">
        <v>0.8</v>
      </c>
      <c r="M155" s="15">
        <f t="shared" si="7"/>
        <v>9698.24</v>
      </c>
      <c r="N155" s="15">
        <f t="shared" si="8"/>
        <v>2424.5599999999995</v>
      </c>
      <c r="O155" t="s">
        <v>15</v>
      </c>
    </row>
    <row r="156" spans="1:15" hidden="1" x14ac:dyDescent="0.35">
      <c r="A156" t="s">
        <v>355</v>
      </c>
      <c r="B156" t="s">
        <v>356</v>
      </c>
      <c r="C156">
        <v>48</v>
      </c>
      <c r="D156" s="8" t="str" cm="1">
        <f t="array" ref="D156">_xlfn.IFS(C156&lt;=2, "Infant", C156&lt;=11, "Child", C156&lt;=17, "Adolescent", C156&lt;=44, "Young Adult", C156&lt;=64, "Middle Aged", C156&lt;=84,"Young Old", C156&gt;=85,"Oldest Old")</f>
        <v>Middle Aged</v>
      </c>
      <c r="E156" t="s">
        <v>12</v>
      </c>
      <c r="F156" s="4">
        <v>45542</v>
      </c>
      <c r="G156" s="4">
        <v>45546</v>
      </c>
      <c r="H156" s="7">
        <f t="shared" si="6"/>
        <v>4</v>
      </c>
      <c r="I156" t="s">
        <v>70</v>
      </c>
      <c r="J156" t="s">
        <v>157</v>
      </c>
      <c r="K156" s="2">
        <v>6625.48</v>
      </c>
      <c r="L156" s="9">
        <v>0.6</v>
      </c>
      <c r="M156" s="15">
        <f t="shared" si="7"/>
        <v>3975.2879999999996</v>
      </c>
      <c r="N156" s="15">
        <f t="shared" si="8"/>
        <v>2650.192</v>
      </c>
      <c r="O156" t="s">
        <v>25</v>
      </c>
    </row>
    <row r="157" spans="1:15" hidden="1" x14ac:dyDescent="0.35">
      <c r="A157" t="s">
        <v>357</v>
      </c>
      <c r="B157" t="s">
        <v>358</v>
      </c>
      <c r="C157">
        <v>72</v>
      </c>
      <c r="D157" s="8" t="str" cm="1">
        <f t="array" ref="D157">_xlfn.IFS(C157&lt;=2, "Infant", C157&lt;=11, "Child", C157&lt;=17, "Adolescent", C157&lt;=44, "Young Adult", C157&lt;=64, "Middle Aged", C157&lt;=84,"Young Old", C157&gt;=85,"Oldest Old")</f>
        <v>Young Old</v>
      </c>
      <c r="E157" t="s">
        <v>12</v>
      </c>
      <c r="F157" s="4">
        <v>45496</v>
      </c>
      <c r="G157" s="4">
        <v>45505</v>
      </c>
      <c r="H157" s="7">
        <f t="shared" si="6"/>
        <v>9</v>
      </c>
      <c r="I157" t="s">
        <v>60</v>
      </c>
      <c r="J157" t="s">
        <v>77</v>
      </c>
      <c r="K157" s="2">
        <v>17423.45</v>
      </c>
      <c r="L157" s="9">
        <v>0.7</v>
      </c>
      <c r="M157" s="15">
        <f t="shared" si="7"/>
        <v>12196.414999999999</v>
      </c>
      <c r="N157" s="15">
        <f t="shared" si="8"/>
        <v>5227.0350000000017</v>
      </c>
      <c r="O157" t="s">
        <v>25</v>
      </c>
    </row>
    <row r="158" spans="1:15" hidden="1" x14ac:dyDescent="0.35">
      <c r="A158" t="s">
        <v>359</v>
      </c>
      <c r="B158" t="s">
        <v>360</v>
      </c>
      <c r="C158">
        <v>65</v>
      </c>
      <c r="D158" s="8" t="str" cm="1">
        <f t="array" ref="D158">_xlfn.IFS(C158&lt;=2, "Infant", C158&lt;=11, "Child", C158&lt;=17, "Adolescent", C158&lt;=44, "Young Adult", C158&lt;=64, "Middle Aged", C158&lt;=84,"Young Old", C158&gt;=85,"Oldest Old")</f>
        <v>Young Old</v>
      </c>
      <c r="E158" t="s">
        <v>12</v>
      </c>
      <c r="F158" s="4">
        <v>45469</v>
      </c>
      <c r="G158" s="4">
        <v>45478</v>
      </c>
      <c r="H158" s="7">
        <f t="shared" si="6"/>
        <v>9</v>
      </c>
      <c r="I158" t="s">
        <v>13</v>
      </c>
      <c r="J158" t="s">
        <v>19</v>
      </c>
      <c r="K158" s="2">
        <v>13753.53</v>
      </c>
      <c r="L158" s="9">
        <v>0.9</v>
      </c>
      <c r="M158" s="15">
        <f t="shared" si="7"/>
        <v>12378.177000000001</v>
      </c>
      <c r="N158" s="15">
        <f t="shared" si="8"/>
        <v>1375.3529999999992</v>
      </c>
      <c r="O158" t="s">
        <v>20</v>
      </c>
    </row>
    <row r="159" spans="1:15" hidden="1" x14ac:dyDescent="0.35">
      <c r="A159" t="s">
        <v>361</v>
      </c>
      <c r="B159" t="s">
        <v>250</v>
      </c>
      <c r="C159">
        <v>44</v>
      </c>
      <c r="D159" s="8" t="str" cm="1">
        <f t="array" ref="D159">_xlfn.IFS(C159&lt;=2, "Infant", C159&lt;=11, "Child", C159&lt;=17, "Adolescent", C159&lt;=44, "Young Adult", C159&lt;=64, "Middle Aged", C159&lt;=84,"Young Old", C159&gt;=85,"Oldest Old")</f>
        <v>Young Adult</v>
      </c>
      <c r="E159" t="s">
        <v>12</v>
      </c>
      <c r="F159" s="4">
        <v>45926</v>
      </c>
      <c r="G159" s="4">
        <v>45936</v>
      </c>
      <c r="H159" s="7">
        <f t="shared" si="6"/>
        <v>10</v>
      </c>
      <c r="I159" t="s">
        <v>13</v>
      </c>
      <c r="J159" t="s">
        <v>14</v>
      </c>
      <c r="K159" s="2">
        <v>18100.37</v>
      </c>
      <c r="L159" s="9">
        <v>0.8</v>
      </c>
      <c r="M159" s="15">
        <f t="shared" si="7"/>
        <v>14480.296</v>
      </c>
      <c r="N159" s="15">
        <f t="shared" si="8"/>
        <v>3620.0739999999987</v>
      </c>
      <c r="O159" t="s">
        <v>15</v>
      </c>
    </row>
    <row r="160" spans="1:15" hidden="1" x14ac:dyDescent="0.35">
      <c r="A160" t="s">
        <v>362</v>
      </c>
      <c r="B160" t="s">
        <v>363</v>
      </c>
      <c r="C160">
        <v>48</v>
      </c>
      <c r="D160" s="8" t="str" cm="1">
        <f t="array" ref="D160">_xlfn.IFS(C160&lt;=2, "Infant", C160&lt;=11, "Child", C160&lt;=17, "Adolescent", C160&lt;=44, "Young Adult", C160&lt;=64, "Middle Aged", C160&lt;=84,"Young Old", C160&gt;=85,"Oldest Old")</f>
        <v>Middle Aged</v>
      </c>
      <c r="E160" t="s">
        <v>18</v>
      </c>
      <c r="F160" s="4">
        <v>45540</v>
      </c>
      <c r="G160" s="4">
        <v>45547</v>
      </c>
      <c r="H160" s="7">
        <f t="shared" si="6"/>
        <v>7</v>
      </c>
      <c r="I160" t="s">
        <v>60</v>
      </c>
      <c r="J160" t="s">
        <v>133</v>
      </c>
      <c r="K160" s="2">
        <v>16172.66</v>
      </c>
      <c r="L160" s="9">
        <v>0.7</v>
      </c>
      <c r="M160" s="15">
        <f t="shared" si="7"/>
        <v>11320.861999999999</v>
      </c>
      <c r="N160" s="15">
        <f t="shared" si="8"/>
        <v>4851.7980000000007</v>
      </c>
      <c r="O160" t="s">
        <v>20</v>
      </c>
    </row>
    <row r="161" spans="1:15" hidden="1" x14ac:dyDescent="0.35">
      <c r="A161" t="s">
        <v>364</v>
      </c>
      <c r="B161" t="s">
        <v>365</v>
      </c>
      <c r="C161">
        <v>43</v>
      </c>
      <c r="D161" s="8" t="str" cm="1">
        <f t="array" ref="D161">_xlfn.IFS(C161&lt;=2, "Infant", C161&lt;=11, "Child", C161&lt;=17, "Adolescent", C161&lt;=44, "Young Adult", C161&lt;=64, "Middle Aged", C161&lt;=84,"Young Old", C161&gt;=85,"Oldest Old")</f>
        <v>Young Adult</v>
      </c>
      <c r="E161" t="s">
        <v>18</v>
      </c>
      <c r="F161" s="4">
        <v>45514</v>
      </c>
      <c r="G161" s="4">
        <v>45521</v>
      </c>
      <c r="H161" s="7">
        <f t="shared" si="6"/>
        <v>7</v>
      </c>
      <c r="I161" t="s">
        <v>31</v>
      </c>
      <c r="J161" t="s">
        <v>44</v>
      </c>
      <c r="K161" s="2">
        <v>7133.08</v>
      </c>
      <c r="L161" s="9">
        <v>0.9</v>
      </c>
      <c r="M161" s="15">
        <f t="shared" si="7"/>
        <v>6419.7719999999999</v>
      </c>
      <c r="N161" s="15">
        <f t="shared" si="8"/>
        <v>713.30799999999999</v>
      </c>
      <c r="O161" t="s">
        <v>20</v>
      </c>
    </row>
    <row r="162" spans="1:15" hidden="1" x14ac:dyDescent="0.35">
      <c r="A162" t="s">
        <v>366</v>
      </c>
      <c r="B162" t="s">
        <v>367</v>
      </c>
      <c r="C162">
        <v>48</v>
      </c>
      <c r="D162" s="8" t="str" cm="1">
        <f t="array" ref="D162">_xlfn.IFS(C162&lt;=2, "Infant", C162&lt;=11, "Child", C162&lt;=17, "Adolescent", C162&lt;=44, "Young Adult", C162&lt;=64, "Middle Aged", C162&lt;=84,"Young Old", C162&gt;=85,"Oldest Old")</f>
        <v>Middle Aged</v>
      </c>
      <c r="E162" t="s">
        <v>12</v>
      </c>
      <c r="F162" s="4">
        <v>46013</v>
      </c>
      <c r="G162" s="4">
        <v>46023</v>
      </c>
      <c r="H162" s="7">
        <f t="shared" si="6"/>
        <v>10</v>
      </c>
      <c r="I162" t="s">
        <v>13</v>
      </c>
      <c r="J162" t="s">
        <v>14</v>
      </c>
      <c r="K162" s="2">
        <v>27699.3</v>
      </c>
      <c r="L162" s="9">
        <v>0.5</v>
      </c>
      <c r="M162" s="15">
        <f t="shared" si="7"/>
        <v>13849.65</v>
      </c>
      <c r="N162" s="15">
        <f t="shared" si="8"/>
        <v>13849.65</v>
      </c>
      <c r="O162" t="s">
        <v>20</v>
      </c>
    </row>
    <row r="163" spans="1:15" hidden="1" x14ac:dyDescent="0.35">
      <c r="A163" t="s">
        <v>368</v>
      </c>
      <c r="B163" t="s">
        <v>369</v>
      </c>
      <c r="C163">
        <v>77</v>
      </c>
      <c r="D163" s="8" t="str" cm="1">
        <f t="array" ref="D163">_xlfn.IFS(C163&lt;=2, "Infant", C163&lt;=11, "Child", C163&lt;=17, "Adolescent", C163&lt;=44, "Young Adult", C163&lt;=64, "Middle Aged", C163&lt;=84,"Young Old", C163&gt;=85,"Oldest Old")</f>
        <v>Young Old</v>
      </c>
      <c r="E163" t="s">
        <v>12</v>
      </c>
      <c r="F163" s="4">
        <v>45475</v>
      </c>
      <c r="G163" s="4">
        <v>45476</v>
      </c>
      <c r="H163" s="7">
        <f t="shared" si="6"/>
        <v>1</v>
      </c>
      <c r="I163" t="s">
        <v>23</v>
      </c>
      <c r="J163" t="s">
        <v>24</v>
      </c>
      <c r="K163" s="2">
        <v>1403.37</v>
      </c>
      <c r="L163" s="9">
        <v>0.8</v>
      </c>
      <c r="M163" s="15">
        <f t="shared" si="7"/>
        <v>1122.6959999999999</v>
      </c>
      <c r="N163" s="15">
        <f t="shared" si="8"/>
        <v>280.67399999999998</v>
      </c>
      <c r="O163" t="s">
        <v>20</v>
      </c>
    </row>
    <row r="164" spans="1:15" hidden="1" x14ac:dyDescent="0.35">
      <c r="A164" t="s">
        <v>370</v>
      </c>
      <c r="B164" t="s">
        <v>348</v>
      </c>
      <c r="C164">
        <v>69</v>
      </c>
      <c r="D164" s="8" t="str" cm="1">
        <f t="array" ref="D164">_xlfn.IFS(C164&lt;=2, "Infant", C164&lt;=11, "Child", C164&lt;=17, "Adolescent", C164&lt;=44, "Young Adult", C164&lt;=64, "Middle Aged", C164&lt;=84,"Young Old", C164&gt;=85,"Oldest Old")</f>
        <v>Young Old</v>
      </c>
      <c r="E164" t="s">
        <v>18</v>
      </c>
      <c r="F164" s="4">
        <v>45417</v>
      </c>
      <c r="G164" s="4">
        <v>45420</v>
      </c>
      <c r="H164" s="7">
        <f t="shared" si="6"/>
        <v>3</v>
      </c>
      <c r="I164" t="s">
        <v>23</v>
      </c>
      <c r="J164" t="s">
        <v>204</v>
      </c>
      <c r="K164" s="2">
        <v>3350.67</v>
      </c>
      <c r="L164" s="9">
        <v>0.8</v>
      </c>
      <c r="M164" s="15">
        <f t="shared" si="7"/>
        <v>2680.5360000000001</v>
      </c>
      <c r="N164" s="15">
        <f t="shared" si="8"/>
        <v>670.13400000000001</v>
      </c>
      <c r="O164" t="s">
        <v>20</v>
      </c>
    </row>
    <row r="165" spans="1:15" hidden="1" x14ac:dyDescent="0.35">
      <c r="A165" t="s">
        <v>371</v>
      </c>
      <c r="B165" t="s">
        <v>372</v>
      </c>
      <c r="C165">
        <v>52</v>
      </c>
      <c r="D165" s="8" t="str" cm="1">
        <f t="array" ref="D165">_xlfn.IFS(C165&lt;=2, "Infant", C165&lt;=11, "Child", C165&lt;=17, "Adolescent", C165&lt;=44, "Young Adult", C165&lt;=64, "Middle Aged", C165&lt;=84,"Young Old", C165&gt;=85,"Oldest Old")</f>
        <v>Middle Aged</v>
      </c>
      <c r="E165" t="s">
        <v>18</v>
      </c>
      <c r="F165" s="4">
        <v>45324</v>
      </c>
      <c r="G165" s="4">
        <v>45326</v>
      </c>
      <c r="H165" s="7">
        <f t="shared" si="6"/>
        <v>2</v>
      </c>
      <c r="I165" t="s">
        <v>23</v>
      </c>
      <c r="J165" t="s">
        <v>204</v>
      </c>
      <c r="K165" s="2">
        <v>2922.92</v>
      </c>
      <c r="L165" s="9">
        <v>1</v>
      </c>
      <c r="M165" s="15">
        <f t="shared" si="7"/>
        <v>2922.92</v>
      </c>
      <c r="N165" s="15">
        <f t="shared" si="8"/>
        <v>0</v>
      </c>
      <c r="O165" t="s">
        <v>20</v>
      </c>
    </row>
    <row r="166" spans="1:15" hidden="1" x14ac:dyDescent="0.35">
      <c r="A166" t="s">
        <v>373</v>
      </c>
      <c r="B166" t="s">
        <v>374</v>
      </c>
      <c r="C166">
        <v>67</v>
      </c>
      <c r="D166" s="8" t="str" cm="1">
        <f t="array" ref="D166">_xlfn.IFS(C166&lt;=2, "Infant", C166&lt;=11, "Child", C166&lt;=17, "Adolescent", C166&lt;=44, "Young Adult", C166&lt;=64, "Middle Aged", C166&lt;=84,"Young Old", C166&gt;=85,"Oldest Old")</f>
        <v>Young Old</v>
      </c>
      <c r="E166" t="s">
        <v>18</v>
      </c>
      <c r="F166" s="4">
        <v>45617</v>
      </c>
      <c r="G166" s="4">
        <v>45619</v>
      </c>
      <c r="H166" s="7">
        <f t="shared" si="6"/>
        <v>2</v>
      </c>
      <c r="I166" t="s">
        <v>23</v>
      </c>
      <c r="J166" t="s">
        <v>204</v>
      </c>
      <c r="K166" s="2">
        <v>2127.71</v>
      </c>
      <c r="L166" s="9">
        <v>0.9</v>
      </c>
      <c r="M166" s="15">
        <f t="shared" si="7"/>
        <v>1914.9390000000001</v>
      </c>
      <c r="N166" s="15">
        <f t="shared" si="8"/>
        <v>212.77099999999996</v>
      </c>
      <c r="O166" t="s">
        <v>25</v>
      </c>
    </row>
    <row r="167" spans="1:15" hidden="1" x14ac:dyDescent="0.35">
      <c r="A167" t="s">
        <v>375</v>
      </c>
      <c r="B167" t="s">
        <v>220</v>
      </c>
      <c r="C167">
        <v>75</v>
      </c>
      <c r="D167" s="8" t="str" cm="1">
        <f t="array" ref="D167">_xlfn.IFS(C167&lt;=2, "Infant", C167&lt;=11, "Child", C167&lt;=17, "Adolescent", C167&lt;=44, "Young Adult", C167&lt;=64, "Middle Aged", C167&lt;=84,"Young Old", C167&gt;=85,"Oldest Old")</f>
        <v>Young Old</v>
      </c>
      <c r="E167" t="s">
        <v>18</v>
      </c>
      <c r="F167" s="4">
        <v>45913</v>
      </c>
      <c r="G167" s="4">
        <v>45922</v>
      </c>
      <c r="H167" s="7">
        <f t="shared" si="6"/>
        <v>9</v>
      </c>
      <c r="I167" t="s">
        <v>13</v>
      </c>
      <c r="J167" t="s">
        <v>165</v>
      </c>
      <c r="K167" s="2">
        <v>15507.09</v>
      </c>
      <c r="L167" s="9">
        <v>0.9</v>
      </c>
      <c r="M167" s="15">
        <f t="shared" si="7"/>
        <v>13956.381000000001</v>
      </c>
      <c r="N167" s="15">
        <f t="shared" si="8"/>
        <v>1550.7089999999989</v>
      </c>
      <c r="O167" t="s">
        <v>15</v>
      </c>
    </row>
    <row r="168" spans="1:15" hidden="1" x14ac:dyDescent="0.35">
      <c r="A168" t="s">
        <v>376</v>
      </c>
      <c r="B168" t="s">
        <v>377</v>
      </c>
      <c r="C168">
        <v>3</v>
      </c>
      <c r="D168" s="8" t="str" cm="1">
        <f t="array" ref="D168">_xlfn.IFS(C168&lt;=2, "Infant", C168&lt;=11, "Child", C168&lt;=17, "Adolescent", C168&lt;=44, "Young Adult", C168&lt;=64, "Middle Aged", C168&lt;=84,"Young Old", C168&gt;=85,"Oldest Old")</f>
        <v>Child</v>
      </c>
      <c r="E168" t="s">
        <v>12</v>
      </c>
      <c r="F168" s="4">
        <v>45884</v>
      </c>
      <c r="G168" s="4">
        <v>45886</v>
      </c>
      <c r="H168" s="7">
        <f t="shared" si="6"/>
        <v>2</v>
      </c>
      <c r="I168" t="s">
        <v>49</v>
      </c>
      <c r="J168" t="s">
        <v>378</v>
      </c>
      <c r="K168" s="2">
        <v>2767.57</v>
      </c>
      <c r="L168" s="9">
        <v>0.5</v>
      </c>
      <c r="M168" s="15">
        <f t="shared" si="7"/>
        <v>1383.7850000000001</v>
      </c>
      <c r="N168" s="15">
        <f t="shared" si="8"/>
        <v>1383.7850000000001</v>
      </c>
      <c r="O168" t="s">
        <v>15</v>
      </c>
    </row>
    <row r="169" spans="1:15" hidden="1" x14ac:dyDescent="0.35">
      <c r="A169" t="s">
        <v>379</v>
      </c>
      <c r="B169" t="s">
        <v>380</v>
      </c>
      <c r="C169">
        <v>82</v>
      </c>
      <c r="D169" s="8" t="str" cm="1">
        <f t="array" ref="D169">_xlfn.IFS(C169&lt;=2, "Infant", C169&lt;=11, "Child", C169&lt;=17, "Adolescent", C169&lt;=44, "Young Adult", C169&lt;=64, "Middle Aged", C169&lt;=84,"Young Old", C169&gt;=85,"Oldest Old")</f>
        <v>Young Old</v>
      </c>
      <c r="E169" t="s">
        <v>18</v>
      </c>
      <c r="F169" s="4">
        <v>45869</v>
      </c>
      <c r="G169" s="4">
        <v>45870</v>
      </c>
      <c r="H169" s="7">
        <f t="shared" si="6"/>
        <v>1</v>
      </c>
      <c r="I169" t="s">
        <v>23</v>
      </c>
      <c r="J169" t="s">
        <v>24</v>
      </c>
      <c r="K169" s="2">
        <v>1998.09</v>
      </c>
      <c r="L169" s="9">
        <v>0.8</v>
      </c>
      <c r="M169" s="15">
        <f t="shared" si="7"/>
        <v>1598.472</v>
      </c>
      <c r="N169" s="15">
        <f t="shared" si="8"/>
        <v>399.61799999999994</v>
      </c>
      <c r="O169" t="s">
        <v>15</v>
      </c>
    </row>
    <row r="170" spans="1:15" hidden="1" x14ac:dyDescent="0.35">
      <c r="A170" t="s">
        <v>381</v>
      </c>
      <c r="B170" t="s">
        <v>382</v>
      </c>
      <c r="C170">
        <v>16</v>
      </c>
      <c r="D170" s="8" t="str" cm="1">
        <f t="array" ref="D170">_xlfn.IFS(C170&lt;=2, "Infant", C170&lt;=11, "Child", C170&lt;=17, "Adolescent", C170&lt;=44, "Young Adult", C170&lt;=64, "Middle Aged", C170&lt;=84,"Young Old", C170&gt;=85,"Oldest Old")</f>
        <v>Adolescent</v>
      </c>
      <c r="E170" t="s">
        <v>18</v>
      </c>
      <c r="F170" s="4">
        <v>45748</v>
      </c>
      <c r="G170" s="4">
        <v>45753</v>
      </c>
      <c r="H170" s="7">
        <f t="shared" si="6"/>
        <v>5</v>
      </c>
      <c r="I170" t="s">
        <v>49</v>
      </c>
      <c r="J170" t="s">
        <v>130</v>
      </c>
      <c r="K170" s="2">
        <v>6351.72</v>
      </c>
      <c r="L170" s="9">
        <v>0.6</v>
      </c>
      <c r="M170" s="15">
        <f t="shared" si="7"/>
        <v>3811.0320000000002</v>
      </c>
      <c r="N170" s="15">
        <f t="shared" si="8"/>
        <v>2540.6880000000001</v>
      </c>
      <c r="O170" t="s">
        <v>15</v>
      </c>
    </row>
    <row r="171" spans="1:15" hidden="1" x14ac:dyDescent="0.35">
      <c r="A171" t="s">
        <v>383</v>
      </c>
      <c r="B171" t="s">
        <v>384</v>
      </c>
      <c r="C171">
        <v>47</v>
      </c>
      <c r="D171" s="8" t="str" cm="1">
        <f t="array" ref="D171">_xlfn.IFS(C171&lt;=2, "Infant", C171&lt;=11, "Child", C171&lt;=17, "Adolescent", C171&lt;=44, "Young Adult", C171&lt;=64, "Middle Aged", C171&lt;=84,"Young Old", C171&gt;=85,"Oldest Old")</f>
        <v>Middle Aged</v>
      </c>
      <c r="E171" t="s">
        <v>12</v>
      </c>
      <c r="F171" s="4">
        <v>45697</v>
      </c>
      <c r="G171" s="4">
        <v>45699</v>
      </c>
      <c r="H171" s="7">
        <f t="shared" si="6"/>
        <v>2</v>
      </c>
      <c r="I171" t="s">
        <v>23</v>
      </c>
      <c r="J171" t="s">
        <v>41</v>
      </c>
      <c r="K171" s="2">
        <v>2177.35</v>
      </c>
      <c r="L171" s="9">
        <v>0.8</v>
      </c>
      <c r="M171" s="15">
        <f t="shared" si="7"/>
        <v>1741.88</v>
      </c>
      <c r="N171" s="15">
        <f t="shared" si="8"/>
        <v>435.4699999999998</v>
      </c>
      <c r="O171" t="s">
        <v>15</v>
      </c>
    </row>
    <row r="172" spans="1:15" hidden="1" x14ac:dyDescent="0.35">
      <c r="A172" t="s">
        <v>385</v>
      </c>
      <c r="B172" t="s">
        <v>386</v>
      </c>
      <c r="C172">
        <v>52</v>
      </c>
      <c r="D172" s="8" t="str" cm="1">
        <f t="array" ref="D172">_xlfn.IFS(C172&lt;=2, "Infant", C172&lt;=11, "Child", C172&lt;=17, "Adolescent", C172&lt;=44, "Young Adult", C172&lt;=64, "Middle Aged", C172&lt;=84,"Young Old", C172&gt;=85,"Oldest Old")</f>
        <v>Middle Aged</v>
      </c>
      <c r="E172" t="s">
        <v>18</v>
      </c>
      <c r="F172" s="4">
        <v>45820</v>
      </c>
      <c r="G172" s="4">
        <v>45823</v>
      </c>
      <c r="H172" s="7">
        <f t="shared" si="6"/>
        <v>3</v>
      </c>
      <c r="I172" t="s">
        <v>13</v>
      </c>
      <c r="J172" t="s">
        <v>19</v>
      </c>
      <c r="K172" s="2">
        <v>4484.95</v>
      </c>
      <c r="L172" s="9">
        <v>0.8</v>
      </c>
      <c r="M172" s="15">
        <f t="shared" si="7"/>
        <v>3587.96</v>
      </c>
      <c r="N172" s="15">
        <f t="shared" si="8"/>
        <v>896.98999999999978</v>
      </c>
      <c r="O172" t="s">
        <v>15</v>
      </c>
    </row>
    <row r="173" spans="1:15" hidden="1" x14ac:dyDescent="0.35">
      <c r="A173" t="s">
        <v>387</v>
      </c>
      <c r="B173" t="s">
        <v>388</v>
      </c>
      <c r="C173">
        <v>81</v>
      </c>
      <c r="D173" s="8" t="str" cm="1">
        <f t="array" ref="D173">_xlfn.IFS(C173&lt;=2, "Infant", C173&lt;=11, "Child", C173&lt;=17, "Adolescent", C173&lt;=44, "Young Adult", C173&lt;=64, "Middle Aged", C173&lt;=84,"Young Old", C173&gt;=85,"Oldest Old")</f>
        <v>Young Old</v>
      </c>
      <c r="E173" t="s">
        <v>12</v>
      </c>
      <c r="F173" s="4">
        <v>45532</v>
      </c>
      <c r="G173" s="4">
        <v>45534</v>
      </c>
      <c r="H173" s="7">
        <f t="shared" si="6"/>
        <v>2</v>
      </c>
      <c r="I173" t="s">
        <v>23</v>
      </c>
      <c r="J173" t="s">
        <v>221</v>
      </c>
      <c r="K173" s="2">
        <v>3381.88</v>
      </c>
      <c r="L173" s="9">
        <v>0.9</v>
      </c>
      <c r="M173" s="15">
        <f t="shared" si="7"/>
        <v>3043.692</v>
      </c>
      <c r="N173" s="15">
        <f t="shared" si="8"/>
        <v>338.1880000000001</v>
      </c>
      <c r="O173" t="s">
        <v>15</v>
      </c>
    </row>
    <row r="174" spans="1:15" hidden="1" x14ac:dyDescent="0.35">
      <c r="A174" t="s">
        <v>389</v>
      </c>
      <c r="B174" t="s">
        <v>390</v>
      </c>
      <c r="C174">
        <v>60</v>
      </c>
      <c r="D174" s="8" t="str" cm="1">
        <f t="array" ref="D174">_xlfn.IFS(C174&lt;=2, "Infant", C174&lt;=11, "Child", C174&lt;=17, "Adolescent", C174&lt;=44, "Young Adult", C174&lt;=64, "Middle Aged", C174&lt;=84,"Young Old", C174&gt;=85,"Oldest Old")</f>
        <v>Middle Aged</v>
      </c>
      <c r="E174" t="s">
        <v>12</v>
      </c>
      <c r="F174" s="4">
        <v>45831</v>
      </c>
      <c r="G174" s="4">
        <v>45836</v>
      </c>
      <c r="H174" s="7">
        <f t="shared" si="6"/>
        <v>5</v>
      </c>
      <c r="I174" t="s">
        <v>60</v>
      </c>
      <c r="J174" t="s">
        <v>97</v>
      </c>
      <c r="K174" s="2">
        <v>11601.6</v>
      </c>
      <c r="L174" s="9">
        <v>0.7</v>
      </c>
      <c r="M174" s="15">
        <f t="shared" si="7"/>
        <v>8121.12</v>
      </c>
      <c r="N174" s="15">
        <f t="shared" si="8"/>
        <v>3480.4800000000005</v>
      </c>
      <c r="O174" t="s">
        <v>20</v>
      </c>
    </row>
    <row r="175" spans="1:15" hidden="1" x14ac:dyDescent="0.35">
      <c r="A175" t="s">
        <v>391</v>
      </c>
      <c r="B175" t="s">
        <v>392</v>
      </c>
      <c r="C175">
        <v>82</v>
      </c>
      <c r="D175" s="8" t="str" cm="1">
        <f t="array" ref="D175">_xlfn.IFS(C175&lt;=2, "Infant", C175&lt;=11, "Child", C175&lt;=17, "Adolescent", C175&lt;=44, "Young Adult", C175&lt;=64, "Middle Aged", C175&lt;=84,"Young Old", C175&gt;=85,"Oldest Old")</f>
        <v>Young Old</v>
      </c>
      <c r="E175" t="s">
        <v>18</v>
      </c>
      <c r="F175" s="4">
        <v>45717</v>
      </c>
      <c r="G175" s="4">
        <v>45719</v>
      </c>
      <c r="H175" s="7">
        <f t="shared" si="6"/>
        <v>2</v>
      </c>
      <c r="I175" t="s">
        <v>23</v>
      </c>
      <c r="J175" t="s">
        <v>24</v>
      </c>
      <c r="K175" s="2">
        <v>2198.17</v>
      </c>
      <c r="L175" s="9">
        <v>0.9</v>
      </c>
      <c r="M175" s="15">
        <f t="shared" si="7"/>
        <v>1978.3530000000001</v>
      </c>
      <c r="N175" s="15">
        <f t="shared" si="8"/>
        <v>219.81700000000001</v>
      </c>
      <c r="O175" t="s">
        <v>15</v>
      </c>
    </row>
    <row r="176" spans="1:15" hidden="1" x14ac:dyDescent="0.35">
      <c r="A176" t="s">
        <v>393</v>
      </c>
      <c r="B176" t="s">
        <v>394</v>
      </c>
      <c r="C176">
        <v>34</v>
      </c>
      <c r="D176" s="8" t="str" cm="1">
        <f t="array" ref="D176">_xlfn.IFS(C176&lt;=2, "Infant", C176&lt;=11, "Child", C176&lt;=17, "Adolescent", C176&lt;=44, "Young Adult", C176&lt;=64, "Middle Aged", C176&lt;=84,"Young Old", C176&gt;=85,"Oldest Old")</f>
        <v>Young Adult</v>
      </c>
      <c r="E176" t="s">
        <v>18</v>
      </c>
      <c r="F176" s="4">
        <v>45934</v>
      </c>
      <c r="G176" s="4">
        <v>45947</v>
      </c>
      <c r="H176" s="7">
        <f t="shared" si="6"/>
        <v>13</v>
      </c>
      <c r="I176" t="s">
        <v>60</v>
      </c>
      <c r="J176" t="s">
        <v>74</v>
      </c>
      <c r="K176" s="2">
        <v>35611.43</v>
      </c>
      <c r="L176" s="9">
        <v>0.7</v>
      </c>
      <c r="M176" s="15">
        <f t="shared" si="7"/>
        <v>24928.001</v>
      </c>
      <c r="N176" s="15">
        <f t="shared" si="8"/>
        <v>10683.429</v>
      </c>
      <c r="O176" t="s">
        <v>15</v>
      </c>
    </row>
    <row r="177" spans="1:15" hidden="1" x14ac:dyDescent="0.35">
      <c r="A177" t="s">
        <v>395</v>
      </c>
      <c r="B177" t="s">
        <v>396</v>
      </c>
      <c r="C177">
        <v>55</v>
      </c>
      <c r="D177" s="8" t="str" cm="1">
        <f t="array" ref="D177">_xlfn.IFS(C177&lt;=2, "Infant", C177&lt;=11, "Child", C177&lt;=17, "Adolescent", C177&lt;=44, "Young Adult", C177&lt;=64, "Middle Aged", C177&lt;=84,"Young Old", C177&gt;=85,"Oldest Old")</f>
        <v>Middle Aged</v>
      </c>
      <c r="E177" t="s">
        <v>12</v>
      </c>
      <c r="F177" s="4">
        <v>45798</v>
      </c>
      <c r="G177" s="4">
        <v>45803</v>
      </c>
      <c r="H177" s="7">
        <f t="shared" si="6"/>
        <v>5</v>
      </c>
      <c r="I177" t="s">
        <v>13</v>
      </c>
      <c r="J177" t="s">
        <v>111</v>
      </c>
      <c r="K177" s="2">
        <v>8093.35</v>
      </c>
      <c r="L177" s="9">
        <v>1</v>
      </c>
      <c r="M177" s="15">
        <f t="shared" si="7"/>
        <v>8093.35</v>
      </c>
      <c r="N177" s="15">
        <f t="shared" si="8"/>
        <v>0</v>
      </c>
      <c r="O177" t="s">
        <v>25</v>
      </c>
    </row>
    <row r="178" spans="1:15" hidden="1" x14ac:dyDescent="0.35">
      <c r="A178" t="s">
        <v>397</v>
      </c>
      <c r="B178" t="s">
        <v>398</v>
      </c>
      <c r="C178">
        <v>69</v>
      </c>
      <c r="D178" s="8" t="str" cm="1">
        <f t="array" ref="D178">_xlfn.IFS(C178&lt;=2, "Infant", C178&lt;=11, "Child", C178&lt;=17, "Adolescent", C178&lt;=44, "Young Adult", C178&lt;=64, "Middle Aged", C178&lt;=84,"Young Old", C178&gt;=85,"Oldest Old")</f>
        <v>Young Old</v>
      </c>
      <c r="E178" t="s">
        <v>12</v>
      </c>
      <c r="F178" s="4">
        <v>45333</v>
      </c>
      <c r="G178" s="4">
        <v>45341</v>
      </c>
      <c r="H178" s="7">
        <f t="shared" si="6"/>
        <v>8</v>
      </c>
      <c r="I178" t="s">
        <v>70</v>
      </c>
      <c r="J178" t="s">
        <v>237</v>
      </c>
      <c r="K178" s="2">
        <v>15311.93</v>
      </c>
      <c r="L178" s="9">
        <v>0.6</v>
      </c>
      <c r="M178" s="15">
        <f t="shared" si="7"/>
        <v>9187.1579999999994</v>
      </c>
      <c r="N178" s="15">
        <f t="shared" si="8"/>
        <v>6124.7720000000008</v>
      </c>
      <c r="O178" t="s">
        <v>20</v>
      </c>
    </row>
    <row r="179" spans="1:15" hidden="1" x14ac:dyDescent="0.35">
      <c r="A179" t="s">
        <v>399</v>
      </c>
      <c r="B179" t="s">
        <v>400</v>
      </c>
      <c r="C179">
        <v>59</v>
      </c>
      <c r="D179" s="8" t="str" cm="1">
        <f t="array" ref="D179">_xlfn.IFS(C179&lt;=2, "Infant", C179&lt;=11, "Child", C179&lt;=17, "Adolescent", C179&lt;=44, "Young Adult", C179&lt;=64, "Middle Aged", C179&lt;=84,"Young Old", C179&gt;=85,"Oldest Old")</f>
        <v>Middle Aged</v>
      </c>
      <c r="E179" t="s">
        <v>18</v>
      </c>
      <c r="F179" s="4">
        <v>45575</v>
      </c>
      <c r="G179" s="4">
        <v>45578</v>
      </c>
      <c r="H179" s="7">
        <f t="shared" si="6"/>
        <v>3</v>
      </c>
      <c r="I179" t="s">
        <v>23</v>
      </c>
      <c r="J179" t="s">
        <v>24</v>
      </c>
      <c r="K179" s="2">
        <v>4201.93</v>
      </c>
      <c r="L179" s="9">
        <v>0.8</v>
      </c>
      <c r="M179" s="15">
        <f t="shared" si="7"/>
        <v>3361.5440000000003</v>
      </c>
      <c r="N179" s="15">
        <f t="shared" si="8"/>
        <v>840.38599999999997</v>
      </c>
      <c r="O179" t="s">
        <v>15</v>
      </c>
    </row>
    <row r="180" spans="1:15" hidden="1" x14ac:dyDescent="0.35">
      <c r="A180" t="s">
        <v>401</v>
      </c>
      <c r="B180" t="s">
        <v>402</v>
      </c>
      <c r="C180">
        <v>51</v>
      </c>
      <c r="D180" s="8" t="str" cm="1">
        <f t="array" ref="D180">_xlfn.IFS(C180&lt;=2, "Infant", C180&lt;=11, "Child", C180&lt;=17, "Adolescent", C180&lt;=44, "Young Adult", C180&lt;=64, "Middle Aged", C180&lt;=84,"Young Old", C180&gt;=85,"Oldest Old")</f>
        <v>Middle Aged</v>
      </c>
      <c r="E180" t="s">
        <v>18</v>
      </c>
      <c r="F180" s="4">
        <v>45959</v>
      </c>
      <c r="G180" s="4">
        <v>45968</v>
      </c>
      <c r="H180" s="7">
        <f t="shared" si="6"/>
        <v>9</v>
      </c>
      <c r="I180" t="s">
        <v>60</v>
      </c>
      <c r="J180" t="s">
        <v>142</v>
      </c>
      <c r="K180" s="2">
        <v>12277.27</v>
      </c>
      <c r="L180" s="9">
        <v>0.9</v>
      </c>
      <c r="M180" s="15">
        <f t="shared" si="7"/>
        <v>11049.543000000001</v>
      </c>
      <c r="N180" s="15">
        <f t="shared" si="8"/>
        <v>1227.726999999999</v>
      </c>
      <c r="O180" t="s">
        <v>15</v>
      </c>
    </row>
    <row r="181" spans="1:15" hidden="1" x14ac:dyDescent="0.35">
      <c r="A181" t="s">
        <v>403</v>
      </c>
      <c r="B181" t="s">
        <v>404</v>
      </c>
      <c r="C181">
        <v>7</v>
      </c>
      <c r="D181" s="8" t="str" cm="1">
        <f t="array" ref="D181">_xlfn.IFS(C181&lt;=2, "Infant", C181&lt;=11, "Child", C181&lt;=17, "Adolescent", C181&lt;=44, "Young Adult", C181&lt;=64, "Middle Aged", C181&lt;=84,"Young Old", C181&gt;=85,"Oldest Old")</f>
        <v>Child</v>
      </c>
      <c r="E181" t="s">
        <v>18</v>
      </c>
      <c r="F181" s="4">
        <v>45785</v>
      </c>
      <c r="G181" s="4">
        <v>45789</v>
      </c>
      <c r="H181" s="7">
        <f t="shared" si="6"/>
        <v>4</v>
      </c>
      <c r="I181" t="s">
        <v>49</v>
      </c>
      <c r="J181" t="s">
        <v>123</v>
      </c>
      <c r="K181" s="2">
        <v>4150.83</v>
      </c>
      <c r="L181" s="9">
        <v>0.7</v>
      </c>
      <c r="M181" s="15">
        <f t="shared" si="7"/>
        <v>2905.5809999999997</v>
      </c>
      <c r="N181" s="15">
        <f t="shared" si="8"/>
        <v>1245.2490000000003</v>
      </c>
      <c r="O181" t="s">
        <v>20</v>
      </c>
    </row>
    <row r="182" spans="1:15" hidden="1" x14ac:dyDescent="0.35">
      <c r="A182" t="s">
        <v>405</v>
      </c>
      <c r="B182" t="s">
        <v>406</v>
      </c>
      <c r="C182">
        <v>27</v>
      </c>
      <c r="D182" s="8" t="str" cm="1">
        <f t="array" ref="D182">_xlfn.IFS(C182&lt;=2, "Infant", C182&lt;=11, "Child", C182&lt;=17, "Adolescent", C182&lt;=44, "Young Adult", C182&lt;=64, "Middle Aged", C182&lt;=84,"Young Old", C182&gt;=85,"Oldest Old")</f>
        <v>Young Adult</v>
      </c>
      <c r="E182" t="s">
        <v>12</v>
      </c>
      <c r="F182" s="4">
        <v>45300</v>
      </c>
      <c r="G182" s="4">
        <v>45303</v>
      </c>
      <c r="H182" s="7">
        <f t="shared" si="6"/>
        <v>3</v>
      </c>
      <c r="I182" t="s">
        <v>31</v>
      </c>
      <c r="J182" t="s">
        <v>234</v>
      </c>
      <c r="K182" s="2">
        <v>2123.81</v>
      </c>
      <c r="L182" s="9">
        <v>1</v>
      </c>
      <c r="M182" s="15">
        <f t="shared" si="7"/>
        <v>2123.81</v>
      </c>
      <c r="N182" s="15">
        <f t="shared" si="8"/>
        <v>0</v>
      </c>
      <c r="O182" t="s">
        <v>15</v>
      </c>
    </row>
    <row r="183" spans="1:15" hidden="1" x14ac:dyDescent="0.35">
      <c r="A183" t="s">
        <v>407</v>
      </c>
      <c r="B183" t="s">
        <v>408</v>
      </c>
      <c r="C183">
        <v>56</v>
      </c>
      <c r="D183" s="8" t="str" cm="1">
        <f t="array" ref="D183">_xlfn.IFS(C183&lt;=2, "Infant", C183&lt;=11, "Child", C183&lt;=17, "Adolescent", C183&lt;=44, "Young Adult", C183&lt;=64, "Middle Aged", C183&lt;=84,"Young Old", C183&gt;=85,"Oldest Old")</f>
        <v>Middle Aged</v>
      </c>
      <c r="E183" t="s">
        <v>18</v>
      </c>
      <c r="F183" s="4">
        <v>45678</v>
      </c>
      <c r="G183" s="4">
        <v>45691</v>
      </c>
      <c r="H183" s="7">
        <f t="shared" si="6"/>
        <v>13</v>
      </c>
      <c r="I183" t="s">
        <v>60</v>
      </c>
      <c r="J183" t="s">
        <v>77</v>
      </c>
      <c r="K183" s="2">
        <v>29767.07</v>
      </c>
      <c r="L183" s="9">
        <v>0.8</v>
      </c>
      <c r="M183" s="15">
        <f t="shared" si="7"/>
        <v>23813.656000000003</v>
      </c>
      <c r="N183" s="15">
        <f t="shared" si="8"/>
        <v>5953.413999999997</v>
      </c>
      <c r="O183" t="s">
        <v>20</v>
      </c>
    </row>
    <row r="184" spans="1:15" hidden="1" x14ac:dyDescent="0.35">
      <c r="A184" t="s">
        <v>409</v>
      </c>
      <c r="B184" t="s">
        <v>410</v>
      </c>
      <c r="C184">
        <v>8</v>
      </c>
      <c r="D184" s="8" t="str" cm="1">
        <f t="array" ref="D184">_xlfn.IFS(C184&lt;=2, "Infant", C184&lt;=11, "Child", C184&lt;=17, "Adolescent", C184&lt;=44, "Young Adult", C184&lt;=64, "Middle Aged", C184&lt;=84,"Young Old", C184&gt;=85,"Oldest Old")</f>
        <v>Child</v>
      </c>
      <c r="E184" t="s">
        <v>12</v>
      </c>
      <c r="F184" s="4">
        <v>45825</v>
      </c>
      <c r="G184" s="4">
        <v>45830</v>
      </c>
      <c r="H184" s="7">
        <f t="shared" si="6"/>
        <v>5</v>
      </c>
      <c r="I184" t="s">
        <v>49</v>
      </c>
      <c r="J184" t="s">
        <v>117</v>
      </c>
      <c r="K184" s="2">
        <v>5537.93</v>
      </c>
      <c r="L184" s="9">
        <v>0.9</v>
      </c>
      <c r="M184" s="15">
        <f t="shared" si="7"/>
        <v>4984.1370000000006</v>
      </c>
      <c r="N184" s="15">
        <f t="shared" si="8"/>
        <v>553.79299999999967</v>
      </c>
      <c r="O184" t="s">
        <v>15</v>
      </c>
    </row>
    <row r="185" spans="1:15" hidden="1" x14ac:dyDescent="0.35">
      <c r="A185" t="s">
        <v>411</v>
      </c>
      <c r="B185" t="s">
        <v>412</v>
      </c>
      <c r="C185">
        <v>77</v>
      </c>
      <c r="D185" s="8" t="str" cm="1">
        <f t="array" ref="D185">_xlfn.IFS(C185&lt;=2, "Infant", C185&lt;=11, "Child", C185&lt;=17, "Adolescent", C185&lt;=44, "Young Adult", C185&lt;=64, "Middle Aged", C185&lt;=84,"Young Old", C185&gt;=85,"Oldest Old")</f>
        <v>Young Old</v>
      </c>
      <c r="E185" t="s">
        <v>12</v>
      </c>
      <c r="F185" s="4">
        <v>45891</v>
      </c>
      <c r="G185" s="4">
        <v>45897</v>
      </c>
      <c r="H185" s="7">
        <f t="shared" si="6"/>
        <v>6</v>
      </c>
      <c r="I185" t="s">
        <v>31</v>
      </c>
      <c r="J185" t="s">
        <v>35</v>
      </c>
      <c r="K185" s="2">
        <v>7949.08</v>
      </c>
      <c r="L185" s="9">
        <v>0.6</v>
      </c>
      <c r="M185" s="15">
        <f t="shared" si="7"/>
        <v>4769.4479999999994</v>
      </c>
      <c r="N185" s="15">
        <f t="shared" si="8"/>
        <v>3179.6320000000005</v>
      </c>
      <c r="O185" t="s">
        <v>15</v>
      </c>
    </row>
    <row r="186" spans="1:15" hidden="1" x14ac:dyDescent="0.35">
      <c r="A186" t="s">
        <v>413</v>
      </c>
      <c r="B186" t="s">
        <v>414</v>
      </c>
      <c r="C186">
        <v>3</v>
      </c>
      <c r="D186" s="8" t="str" cm="1">
        <f t="array" ref="D186">_xlfn.IFS(C186&lt;=2, "Infant", C186&lt;=11, "Child", C186&lt;=17, "Adolescent", C186&lt;=44, "Young Adult", C186&lt;=64, "Middle Aged", C186&lt;=84,"Young Old", C186&gt;=85,"Oldest Old")</f>
        <v>Child</v>
      </c>
      <c r="E186" t="s">
        <v>12</v>
      </c>
      <c r="F186" s="4">
        <v>45651</v>
      </c>
      <c r="G186" s="4">
        <v>45655</v>
      </c>
      <c r="H186" s="7">
        <f t="shared" si="6"/>
        <v>4</v>
      </c>
      <c r="I186" t="s">
        <v>49</v>
      </c>
      <c r="J186" t="s">
        <v>123</v>
      </c>
      <c r="K186" s="2">
        <v>6607.88</v>
      </c>
      <c r="L186" s="9">
        <v>0.7</v>
      </c>
      <c r="M186" s="15">
        <f t="shared" si="7"/>
        <v>4625.5159999999996</v>
      </c>
      <c r="N186" s="15">
        <f t="shared" si="8"/>
        <v>1982.3640000000005</v>
      </c>
      <c r="O186" t="s">
        <v>15</v>
      </c>
    </row>
    <row r="187" spans="1:15" hidden="1" x14ac:dyDescent="0.35">
      <c r="A187" t="s">
        <v>415</v>
      </c>
      <c r="B187" t="s">
        <v>416</v>
      </c>
      <c r="C187">
        <v>12</v>
      </c>
      <c r="D187" s="8" t="str" cm="1">
        <f t="array" ref="D187">_xlfn.IFS(C187&lt;=2, "Infant", C187&lt;=11, "Child", C187&lt;=17, "Adolescent", C187&lt;=44, "Young Adult", C187&lt;=64, "Middle Aged", C187&lt;=84,"Young Old", C187&gt;=85,"Oldest Old")</f>
        <v>Adolescent</v>
      </c>
      <c r="E187" t="s">
        <v>18</v>
      </c>
      <c r="F187" s="4">
        <v>45548</v>
      </c>
      <c r="G187" s="4">
        <v>45551</v>
      </c>
      <c r="H187" s="7">
        <f t="shared" si="6"/>
        <v>3</v>
      </c>
      <c r="I187" t="s">
        <v>49</v>
      </c>
      <c r="J187" t="s">
        <v>120</v>
      </c>
      <c r="K187" s="2">
        <v>4728.71</v>
      </c>
      <c r="L187" s="9">
        <v>0.5</v>
      </c>
      <c r="M187" s="15">
        <f t="shared" si="7"/>
        <v>2364.355</v>
      </c>
      <c r="N187" s="15">
        <f t="shared" si="8"/>
        <v>2364.355</v>
      </c>
      <c r="O187" t="s">
        <v>15</v>
      </c>
    </row>
    <row r="188" spans="1:15" hidden="1" x14ac:dyDescent="0.35">
      <c r="A188" t="s">
        <v>417</v>
      </c>
      <c r="B188" t="s">
        <v>418</v>
      </c>
      <c r="C188">
        <v>83</v>
      </c>
      <c r="D188" s="8" t="str" cm="1">
        <f t="array" ref="D188">_xlfn.IFS(C188&lt;=2, "Infant", C188&lt;=11, "Child", C188&lt;=17, "Adolescent", C188&lt;=44, "Young Adult", C188&lt;=64, "Middle Aged", C188&lt;=84,"Young Old", C188&gt;=85,"Oldest Old")</f>
        <v>Young Old</v>
      </c>
      <c r="E188" t="s">
        <v>18</v>
      </c>
      <c r="F188" s="4">
        <v>45352</v>
      </c>
      <c r="G188" s="4">
        <v>45360</v>
      </c>
      <c r="H188" s="7">
        <f t="shared" si="6"/>
        <v>8</v>
      </c>
      <c r="I188" t="s">
        <v>13</v>
      </c>
      <c r="J188" t="s">
        <v>19</v>
      </c>
      <c r="K188" s="2">
        <v>15664.73</v>
      </c>
      <c r="L188" s="9">
        <v>0.8</v>
      </c>
      <c r="M188" s="15">
        <f t="shared" si="7"/>
        <v>12531.784</v>
      </c>
      <c r="N188" s="15">
        <f t="shared" si="8"/>
        <v>3132.9459999999999</v>
      </c>
      <c r="O188" t="s">
        <v>15</v>
      </c>
    </row>
    <row r="189" spans="1:15" hidden="1" x14ac:dyDescent="0.35">
      <c r="A189" t="s">
        <v>419</v>
      </c>
      <c r="B189" t="s">
        <v>420</v>
      </c>
      <c r="C189">
        <v>53</v>
      </c>
      <c r="D189" s="8" t="str" cm="1">
        <f t="array" ref="D189">_xlfn.IFS(C189&lt;=2, "Infant", C189&lt;=11, "Child", C189&lt;=17, "Adolescent", C189&lt;=44, "Young Adult", C189&lt;=64, "Middle Aged", C189&lt;=84,"Young Old", C189&gt;=85,"Oldest Old")</f>
        <v>Middle Aged</v>
      </c>
      <c r="E189" t="s">
        <v>18</v>
      </c>
      <c r="F189" s="4">
        <v>45951</v>
      </c>
      <c r="G189" s="4">
        <v>45955</v>
      </c>
      <c r="H189" s="7">
        <f t="shared" si="6"/>
        <v>4</v>
      </c>
      <c r="I189" t="s">
        <v>31</v>
      </c>
      <c r="J189" t="s">
        <v>234</v>
      </c>
      <c r="K189" s="2">
        <v>2716.52</v>
      </c>
      <c r="L189" s="9">
        <v>0</v>
      </c>
      <c r="M189" s="15">
        <f t="shared" si="7"/>
        <v>0</v>
      </c>
      <c r="N189" s="15">
        <f t="shared" si="8"/>
        <v>2716.52</v>
      </c>
      <c r="O189" t="s">
        <v>25</v>
      </c>
    </row>
    <row r="190" spans="1:15" hidden="1" x14ac:dyDescent="0.35">
      <c r="A190" t="s">
        <v>421</v>
      </c>
      <c r="B190" t="s">
        <v>422</v>
      </c>
      <c r="C190">
        <v>29</v>
      </c>
      <c r="D190" s="8" t="str" cm="1">
        <f t="array" ref="D190">_xlfn.IFS(C190&lt;=2, "Infant", C190&lt;=11, "Child", C190&lt;=17, "Adolescent", C190&lt;=44, "Young Adult", C190&lt;=64, "Middle Aged", C190&lt;=84,"Young Old", C190&gt;=85,"Oldest Old")</f>
        <v>Young Adult</v>
      </c>
      <c r="E190" t="s">
        <v>18</v>
      </c>
      <c r="F190" s="4">
        <v>45643</v>
      </c>
      <c r="G190" s="4">
        <v>45644</v>
      </c>
      <c r="H190" s="7">
        <f t="shared" si="6"/>
        <v>1</v>
      </c>
      <c r="I190" t="s">
        <v>31</v>
      </c>
      <c r="J190" t="s">
        <v>114</v>
      </c>
      <c r="K190" s="2">
        <v>716.18</v>
      </c>
      <c r="L190" s="9">
        <v>0.8</v>
      </c>
      <c r="M190" s="15">
        <f t="shared" si="7"/>
        <v>572.94399999999996</v>
      </c>
      <c r="N190" s="15">
        <f t="shared" si="8"/>
        <v>143.23599999999999</v>
      </c>
      <c r="O190" t="s">
        <v>15</v>
      </c>
    </row>
    <row r="191" spans="1:15" hidden="1" x14ac:dyDescent="0.35">
      <c r="A191" t="s">
        <v>423</v>
      </c>
      <c r="B191" t="s">
        <v>346</v>
      </c>
      <c r="C191">
        <v>49</v>
      </c>
      <c r="D191" s="8" t="str" cm="1">
        <f t="array" ref="D191">_xlfn.IFS(C191&lt;=2, "Infant", C191&lt;=11, "Child", C191&lt;=17, "Adolescent", C191&lt;=44, "Young Adult", C191&lt;=64, "Middle Aged", C191&lt;=84,"Young Old", C191&gt;=85,"Oldest Old")</f>
        <v>Middle Aged</v>
      </c>
      <c r="E191" t="s">
        <v>18</v>
      </c>
      <c r="F191" s="4">
        <v>45738</v>
      </c>
      <c r="G191" s="4">
        <v>45741</v>
      </c>
      <c r="H191" s="7">
        <f t="shared" si="6"/>
        <v>3</v>
      </c>
      <c r="I191" t="s">
        <v>70</v>
      </c>
      <c r="J191" t="s">
        <v>157</v>
      </c>
      <c r="K191" s="2">
        <v>3478.78</v>
      </c>
      <c r="L191" s="9">
        <v>0.8</v>
      </c>
      <c r="M191" s="15">
        <f t="shared" si="7"/>
        <v>2783.0240000000003</v>
      </c>
      <c r="N191" s="15">
        <f t="shared" si="8"/>
        <v>695.75599999999986</v>
      </c>
      <c r="O191" t="s">
        <v>15</v>
      </c>
    </row>
    <row r="192" spans="1:15" hidden="1" x14ac:dyDescent="0.35">
      <c r="A192" t="s">
        <v>424</v>
      </c>
      <c r="B192" t="s">
        <v>425</v>
      </c>
      <c r="C192">
        <v>48</v>
      </c>
      <c r="D192" s="8" t="str" cm="1">
        <f t="array" ref="D192">_xlfn.IFS(C192&lt;=2, "Infant", C192&lt;=11, "Child", C192&lt;=17, "Adolescent", C192&lt;=44, "Young Adult", C192&lt;=64, "Middle Aged", C192&lt;=84,"Young Old", C192&gt;=85,"Oldest Old")</f>
        <v>Middle Aged</v>
      </c>
      <c r="E192" t="s">
        <v>18</v>
      </c>
      <c r="F192" s="4">
        <v>45979</v>
      </c>
      <c r="G192" s="4">
        <v>45985</v>
      </c>
      <c r="H192" s="7">
        <f t="shared" si="6"/>
        <v>6</v>
      </c>
      <c r="I192" t="s">
        <v>31</v>
      </c>
      <c r="J192" t="s">
        <v>53</v>
      </c>
      <c r="K192" s="2">
        <v>3693.12</v>
      </c>
      <c r="L192" s="9">
        <v>1</v>
      </c>
      <c r="M192" s="15">
        <f t="shared" si="7"/>
        <v>3693.12</v>
      </c>
      <c r="N192" s="15">
        <f t="shared" si="8"/>
        <v>0</v>
      </c>
      <c r="O192" t="s">
        <v>20</v>
      </c>
    </row>
    <row r="193" spans="1:15" hidden="1" x14ac:dyDescent="0.35">
      <c r="A193" t="s">
        <v>426</v>
      </c>
      <c r="B193" t="s">
        <v>427</v>
      </c>
      <c r="C193">
        <v>80</v>
      </c>
      <c r="D193" s="8" t="str" cm="1">
        <f t="array" ref="D193">_xlfn.IFS(C193&lt;=2, "Infant", C193&lt;=11, "Child", C193&lt;=17, "Adolescent", C193&lt;=44, "Young Adult", C193&lt;=64, "Middle Aged", C193&lt;=84,"Young Old", C193&gt;=85,"Oldest Old")</f>
        <v>Young Old</v>
      </c>
      <c r="E193" t="s">
        <v>18</v>
      </c>
      <c r="F193" s="4">
        <v>45362</v>
      </c>
      <c r="G193" s="4">
        <v>45363</v>
      </c>
      <c r="H193" s="7">
        <f t="shared" si="6"/>
        <v>1</v>
      </c>
      <c r="I193" t="s">
        <v>31</v>
      </c>
      <c r="J193" t="s">
        <v>114</v>
      </c>
      <c r="K193" s="2">
        <v>1441.21</v>
      </c>
      <c r="L193" s="9">
        <v>0</v>
      </c>
      <c r="M193" s="15">
        <f t="shared" si="7"/>
        <v>0</v>
      </c>
      <c r="N193" s="15">
        <f t="shared" si="8"/>
        <v>1441.21</v>
      </c>
      <c r="O193" t="s">
        <v>15</v>
      </c>
    </row>
    <row r="194" spans="1:15" hidden="1" x14ac:dyDescent="0.35">
      <c r="A194" t="s">
        <v>428</v>
      </c>
      <c r="B194" t="s">
        <v>429</v>
      </c>
      <c r="C194">
        <v>52</v>
      </c>
      <c r="D194" s="8" t="str" cm="1">
        <f t="array" ref="D194">_xlfn.IFS(C194&lt;=2, "Infant", C194&lt;=11, "Child", C194&lt;=17, "Adolescent", C194&lt;=44, "Young Adult", C194&lt;=64, "Middle Aged", C194&lt;=84,"Young Old", C194&gt;=85,"Oldest Old")</f>
        <v>Middle Aged</v>
      </c>
      <c r="E194" t="s">
        <v>18</v>
      </c>
      <c r="F194" s="4">
        <v>45639</v>
      </c>
      <c r="G194" s="4">
        <v>45645</v>
      </c>
      <c r="H194" s="7">
        <f t="shared" si="6"/>
        <v>6</v>
      </c>
      <c r="I194" t="s">
        <v>31</v>
      </c>
      <c r="J194" t="s">
        <v>114</v>
      </c>
      <c r="K194" s="2">
        <v>8378.4500000000007</v>
      </c>
      <c r="L194" s="9">
        <v>0.7</v>
      </c>
      <c r="M194" s="15">
        <f t="shared" si="7"/>
        <v>5864.915</v>
      </c>
      <c r="N194" s="15">
        <f t="shared" si="8"/>
        <v>2513.5350000000008</v>
      </c>
      <c r="O194" t="s">
        <v>20</v>
      </c>
    </row>
    <row r="195" spans="1:15" hidden="1" x14ac:dyDescent="0.35">
      <c r="A195" t="s">
        <v>430</v>
      </c>
      <c r="B195" t="s">
        <v>431</v>
      </c>
      <c r="C195">
        <v>77</v>
      </c>
      <c r="D195" s="8" t="str" cm="1">
        <f t="array" ref="D195">_xlfn.IFS(C195&lt;=2, "Infant", C195&lt;=11, "Child", C195&lt;=17, "Adolescent", C195&lt;=44, "Young Adult", C195&lt;=64, "Middle Aged", C195&lt;=84,"Young Old", C195&gt;=85,"Oldest Old")</f>
        <v>Young Old</v>
      </c>
      <c r="E195" t="s">
        <v>18</v>
      </c>
      <c r="F195" s="4">
        <v>45585</v>
      </c>
      <c r="G195" s="4">
        <v>45595</v>
      </c>
      <c r="H195" s="7">
        <f t="shared" ref="H195:H258" si="9">DATEDIF(F195,G195,"D")</f>
        <v>10</v>
      </c>
      <c r="I195" t="s">
        <v>13</v>
      </c>
      <c r="J195" t="s">
        <v>14</v>
      </c>
      <c r="K195" s="2">
        <v>16501.419999999998</v>
      </c>
      <c r="L195" s="9">
        <v>0.5</v>
      </c>
      <c r="M195" s="15">
        <f t="shared" ref="M195:M258" si="10">L195*K195</f>
        <v>8250.7099999999991</v>
      </c>
      <c r="N195" s="15">
        <f t="shared" ref="N195:N258" si="11">K195-M195</f>
        <v>8250.7099999999991</v>
      </c>
      <c r="O195" t="s">
        <v>15</v>
      </c>
    </row>
    <row r="196" spans="1:15" hidden="1" x14ac:dyDescent="0.35">
      <c r="A196" t="s">
        <v>432</v>
      </c>
      <c r="B196" t="s">
        <v>433</v>
      </c>
      <c r="C196">
        <v>53</v>
      </c>
      <c r="D196" s="8" t="str" cm="1">
        <f t="array" ref="D196">_xlfn.IFS(C196&lt;=2, "Infant", C196&lt;=11, "Child", C196&lt;=17, "Adolescent", C196&lt;=44, "Young Adult", C196&lt;=64, "Middle Aged", C196&lt;=84,"Young Old", C196&gt;=85,"Oldest Old")</f>
        <v>Middle Aged</v>
      </c>
      <c r="E196" t="s">
        <v>18</v>
      </c>
      <c r="F196" s="4">
        <v>45798</v>
      </c>
      <c r="G196" s="4">
        <v>45807</v>
      </c>
      <c r="H196" s="7">
        <f t="shared" si="9"/>
        <v>9</v>
      </c>
      <c r="I196" t="s">
        <v>13</v>
      </c>
      <c r="J196" t="s">
        <v>102</v>
      </c>
      <c r="K196" s="2">
        <v>18430.509999999998</v>
      </c>
      <c r="L196" s="9">
        <v>1</v>
      </c>
      <c r="M196" s="15">
        <f t="shared" si="10"/>
        <v>18430.509999999998</v>
      </c>
      <c r="N196" s="15">
        <f t="shared" si="11"/>
        <v>0</v>
      </c>
      <c r="O196" t="s">
        <v>15</v>
      </c>
    </row>
    <row r="197" spans="1:15" hidden="1" x14ac:dyDescent="0.35">
      <c r="A197" t="s">
        <v>434</v>
      </c>
      <c r="B197" t="s">
        <v>435</v>
      </c>
      <c r="C197">
        <v>42</v>
      </c>
      <c r="D197" s="8" t="str" cm="1">
        <f t="array" ref="D197">_xlfn.IFS(C197&lt;=2, "Infant", C197&lt;=11, "Child", C197&lt;=17, "Adolescent", C197&lt;=44, "Young Adult", C197&lt;=64, "Middle Aged", C197&lt;=84,"Young Old", C197&gt;=85,"Oldest Old")</f>
        <v>Young Adult</v>
      </c>
      <c r="E197" t="s">
        <v>12</v>
      </c>
      <c r="F197" s="4">
        <v>45550</v>
      </c>
      <c r="G197" s="4">
        <v>45553</v>
      </c>
      <c r="H197" s="7">
        <f t="shared" si="9"/>
        <v>3</v>
      </c>
      <c r="I197" t="s">
        <v>31</v>
      </c>
      <c r="J197" t="s">
        <v>87</v>
      </c>
      <c r="K197" s="2">
        <v>1567.15</v>
      </c>
      <c r="L197" s="9">
        <v>0.8</v>
      </c>
      <c r="M197" s="15">
        <f t="shared" si="10"/>
        <v>1253.7200000000003</v>
      </c>
      <c r="N197" s="15">
        <f t="shared" si="11"/>
        <v>313.42999999999984</v>
      </c>
      <c r="O197" t="s">
        <v>25</v>
      </c>
    </row>
    <row r="198" spans="1:15" hidden="1" x14ac:dyDescent="0.35">
      <c r="A198" t="s">
        <v>436</v>
      </c>
      <c r="B198" t="s">
        <v>203</v>
      </c>
      <c r="C198">
        <v>61</v>
      </c>
      <c r="D198" s="8" t="str" cm="1">
        <f t="array" ref="D198">_xlfn.IFS(C198&lt;=2, "Infant", C198&lt;=11, "Child", C198&lt;=17, "Adolescent", C198&lt;=44, "Young Adult", C198&lt;=64, "Middle Aged", C198&lt;=84,"Young Old", C198&gt;=85,"Oldest Old")</f>
        <v>Middle Aged</v>
      </c>
      <c r="E198" t="s">
        <v>18</v>
      </c>
      <c r="F198" s="4">
        <v>45545</v>
      </c>
      <c r="G198" s="4">
        <v>45546</v>
      </c>
      <c r="H198" s="7">
        <f t="shared" si="9"/>
        <v>1</v>
      </c>
      <c r="I198" t="s">
        <v>23</v>
      </c>
      <c r="J198" t="s">
        <v>41</v>
      </c>
      <c r="K198" s="2">
        <v>917.44</v>
      </c>
      <c r="L198" s="9">
        <v>0.8</v>
      </c>
      <c r="M198" s="15">
        <f t="shared" si="10"/>
        <v>733.95200000000011</v>
      </c>
      <c r="N198" s="15">
        <f t="shared" si="11"/>
        <v>183.48799999999994</v>
      </c>
      <c r="O198" t="s">
        <v>15</v>
      </c>
    </row>
    <row r="199" spans="1:15" hidden="1" x14ac:dyDescent="0.35">
      <c r="A199" t="s">
        <v>437</v>
      </c>
      <c r="B199" t="s">
        <v>132</v>
      </c>
      <c r="C199">
        <v>81</v>
      </c>
      <c r="D199" s="8" t="str" cm="1">
        <f t="array" ref="D199">_xlfn.IFS(C199&lt;=2, "Infant", C199&lt;=11, "Child", C199&lt;=17, "Adolescent", C199&lt;=44, "Young Adult", C199&lt;=64, "Middle Aged", C199&lt;=84,"Young Old", C199&gt;=85,"Oldest Old")</f>
        <v>Young Old</v>
      </c>
      <c r="E199" t="s">
        <v>18</v>
      </c>
      <c r="F199" s="4">
        <v>45994</v>
      </c>
      <c r="G199" s="4">
        <v>46003</v>
      </c>
      <c r="H199" s="7">
        <f t="shared" si="9"/>
        <v>9</v>
      </c>
      <c r="I199" t="s">
        <v>13</v>
      </c>
      <c r="J199" t="s">
        <v>102</v>
      </c>
      <c r="K199" s="2">
        <v>18345.38</v>
      </c>
      <c r="L199" s="9">
        <v>0.8</v>
      </c>
      <c r="M199" s="15">
        <f t="shared" si="10"/>
        <v>14676.304000000002</v>
      </c>
      <c r="N199" s="15">
        <f t="shared" si="11"/>
        <v>3669.0759999999991</v>
      </c>
      <c r="O199" t="s">
        <v>20</v>
      </c>
    </row>
    <row r="200" spans="1:15" hidden="1" x14ac:dyDescent="0.35">
      <c r="A200" t="s">
        <v>438</v>
      </c>
      <c r="B200" t="s">
        <v>439</v>
      </c>
      <c r="C200">
        <v>53</v>
      </c>
      <c r="D200" s="8" t="str" cm="1">
        <f t="array" ref="D200">_xlfn.IFS(C200&lt;=2, "Infant", C200&lt;=11, "Child", C200&lt;=17, "Adolescent", C200&lt;=44, "Young Adult", C200&lt;=64, "Middle Aged", C200&lt;=84,"Young Old", C200&gt;=85,"Oldest Old")</f>
        <v>Middle Aged</v>
      </c>
      <c r="E200" t="s">
        <v>18</v>
      </c>
      <c r="F200" s="4">
        <v>45626</v>
      </c>
      <c r="G200" s="4">
        <v>45635</v>
      </c>
      <c r="H200" s="7">
        <f t="shared" si="9"/>
        <v>9</v>
      </c>
      <c r="I200" t="s">
        <v>70</v>
      </c>
      <c r="J200" t="s">
        <v>71</v>
      </c>
      <c r="K200" s="2">
        <v>19211.240000000002</v>
      </c>
      <c r="L200" s="9">
        <v>0.9</v>
      </c>
      <c r="M200" s="15">
        <f t="shared" si="10"/>
        <v>17290.116000000002</v>
      </c>
      <c r="N200" s="15">
        <f t="shared" si="11"/>
        <v>1921.1239999999998</v>
      </c>
      <c r="O200" t="s">
        <v>15</v>
      </c>
    </row>
    <row r="201" spans="1:15" hidden="1" x14ac:dyDescent="0.35">
      <c r="A201" t="s">
        <v>440</v>
      </c>
      <c r="B201" t="s">
        <v>441</v>
      </c>
      <c r="C201">
        <v>48</v>
      </c>
      <c r="D201" s="8" t="str" cm="1">
        <f t="array" ref="D201">_xlfn.IFS(C201&lt;=2, "Infant", C201&lt;=11, "Child", C201&lt;=17, "Adolescent", C201&lt;=44, "Young Adult", C201&lt;=64, "Middle Aged", C201&lt;=84,"Young Old", C201&gt;=85,"Oldest Old")</f>
        <v>Middle Aged</v>
      </c>
      <c r="E201" t="s">
        <v>12</v>
      </c>
      <c r="F201" s="4">
        <v>45805</v>
      </c>
      <c r="G201" s="4">
        <v>45809</v>
      </c>
      <c r="H201" s="7">
        <f t="shared" si="9"/>
        <v>4</v>
      </c>
      <c r="I201" t="s">
        <v>13</v>
      </c>
      <c r="J201" t="s">
        <v>19</v>
      </c>
      <c r="K201" s="2">
        <v>10336.58</v>
      </c>
      <c r="L201" s="9">
        <v>1</v>
      </c>
      <c r="M201" s="15">
        <f t="shared" si="10"/>
        <v>10336.58</v>
      </c>
      <c r="N201" s="15">
        <f t="shared" si="11"/>
        <v>0</v>
      </c>
      <c r="O201" t="s">
        <v>15</v>
      </c>
    </row>
    <row r="202" spans="1:15" hidden="1" x14ac:dyDescent="0.35">
      <c r="A202" t="s">
        <v>442</v>
      </c>
      <c r="B202" t="s">
        <v>443</v>
      </c>
      <c r="C202">
        <v>64</v>
      </c>
      <c r="D202" s="8" t="str" cm="1">
        <f t="array" ref="D202">_xlfn.IFS(C202&lt;=2, "Infant", C202&lt;=11, "Child", C202&lt;=17, "Adolescent", C202&lt;=44, "Young Adult", C202&lt;=64, "Middle Aged", C202&lt;=84,"Young Old", C202&gt;=85,"Oldest Old")</f>
        <v>Middle Aged</v>
      </c>
      <c r="E202" t="s">
        <v>18</v>
      </c>
      <c r="F202" s="4">
        <v>45705</v>
      </c>
      <c r="G202" s="4">
        <v>45712</v>
      </c>
      <c r="H202" s="7">
        <f t="shared" si="9"/>
        <v>7</v>
      </c>
      <c r="I202" t="s">
        <v>31</v>
      </c>
      <c r="J202" t="s">
        <v>234</v>
      </c>
      <c r="K202" s="2">
        <v>4926.12</v>
      </c>
      <c r="L202" s="9">
        <v>0.7</v>
      </c>
      <c r="M202" s="15">
        <f t="shared" si="10"/>
        <v>3448.2839999999997</v>
      </c>
      <c r="N202" s="15">
        <f t="shared" si="11"/>
        <v>1477.8360000000002</v>
      </c>
      <c r="O202" t="s">
        <v>20</v>
      </c>
    </row>
    <row r="203" spans="1:15" hidden="1" x14ac:dyDescent="0.35">
      <c r="A203" t="s">
        <v>444</v>
      </c>
      <c r="B203" t="s">
        <v>445</v>
      </c>
      <c r="C203">
        <v>80</v>
      </c>
      <c r="D203" s="8" t="str" cm="1">
        <f t="array" ref="D203">_xlfn.IFS(C203&lt;=2, "Infant", C203&lt;=11, "Child", C203&lt;=17, "Adolescent", C203&lt;=44, "Young Adult", C203&lt;=64, "Middle Aged", C203&lt;=84,"Young Old", C203&gt;=85,"Oldest Old")</f>
        <v>Young Old</v>
      </c>
      <c r="E203" t="s">
        <v>18</v>
      </c>
      <c r="F203" s="4">
        <v>45491</v>
      </c>
      <c r="G203" s="4">
        <v>45497</v>
      </c>
      <c r="H203" s="7">
        <f t="shared" si="9"/>
        <v>6</v>
      </c>
      <c r="I203" t="s">
        <v>70</v>
      </c>
      <c r="J203" t="s">
        <v>295</v>
      </c>
      <c r="K203" s="2">
        <v>13102.72</v>
      </c>
      <c r="L203" s="9">
        <v>0.5</v>
      </c>
      <c r="M203" s="15">
        <f t="shared" si="10"/>
        <v>6551.36</v>
      </c>
      <c r="N203" s="15">
        <f t="shared" si="11"/>
        <v>6551.36</v>
      </c>
      <c r="O203" t="s">
        <v>20</v>
      </c>
    </row>
    <row r="204" spans="1:15" hidden="1" x14ac:dyDescent="0.35">
      <c r="A204" t="s">
        <v>446</v>
      </c>
      <c r="B204" t="s">
        <v>447</v>
      </c>
      <c r="C204">
        <v>56</v>
      </c>
      <c r="D204" s="8" t="str" cm="1">
        <f t="array" ref="D204">_xlfn.IFS(C204&lt;=2, "Infant", C204&lt;=11, "Child", C204&lt;=17, "Adolescent", C204&lt;=44, "Young Adult", C204&lt;=64, "Middle Aged", C204&lt;=84,"Young Old", C204&gt;=85,"Oldest Old")</f>
        <v>Middle Aged</v>
      </c>
      <c r="E204" t="s">
        <v>12</v>
      </c>
      <c r="F204" s="4">
        <v>45355</v>
      </c>
      <c r="G204" s="4">
        <v>45362</v>
      </c>
      <c r="H204" s="7">
        <f t="shared" si="9"/>
        <v>7</v>
      </c>
      <c r="I204" t="s">
        <v>31</v>
      </c>
      <c r="J204" t="s">
        <v>35</v>
      </c>
      <c r="K204" s="2">
        <v>4595.79</v>
      </c>
      <c r="L204" s="9">
        <v>0.8</v>
      </c>
      <c r="M204" s="15">
        <f t="shared" si="10"/>
        <v>3676.6320000000001</v>
      </c>
      <c r="N204" s="15">
        <f t="shared" si="11"/>
        <v>919.1579999999999</v>
      </c>
      <c r="O204" t="s">
        <v>15</v>
      </c>
    </row>
    <row r="205" spans="1:15" hidden="1" x14ac:dyDescent="0.35">
      <c r="A205" t="s">
        <v>448</v>
      </c>
      <c r="B205" t="s">
        <v>449</v>
      </c>
      <c r="C205">
        <v>63</v>
      </c>
      <c r="D205" s="8" t="str" cm="1">
        <f t="array" ref="D205">_xlfn.IFS(C205&lt;=2, "Infant", C205&lt;=11, "Child", C205&lt;=17, "Adolescent", C205&lt;=44, "Young Adult", C205&lt;=64, "Middle Aged", C205&lt;=84,"Young Old", C205&gt;=85,"Oldest Old")</f>
        <v>Middle Aged</v>
      </c>
      <c r="E205" t="s">
        <v>12</v>
      </c>
      <c r="F205" s="4">
        <v>45625</v>
      </c>
      <c r="G205" s="4">
        <v>45628</v>
      </c>
      <c r="H205" s="7">
        <f t="shared" si="9"/>
        <v>3</v>
      </c>
      <c r="I205" t="s">
        <v>23</v>
      </c>
      <c r="J205" t="s">
        <v>204</v>
      </c>
      <c r="K205" s="2">
        <v>3717.61</v>
      </c>
      <c r="L205" s="9">
        <v>0.9</v>
      </c>
      <c r="M205" s="15">
        <f t="shared" si="10"/>
        <v>3345.8490000000002</v>
      </c>
      <c r="N205" s="15">
        <f t="shared" si="11"/>
        <v>371.76099999999997</v>
      </c>
      <c r="O205" t="s">
        <v>20</v>
      </c>
    </row>
    <row r="206" spans="1:15" hidden="1" x14ac:dyDescent="0.35">
      <c r="A206" t="s">
        <v>450</v>
      </c>
      <c r="B206" t="s">
        <v>451</v>
      </c>
      <c r="C206">
        <v>43</v>
      </c>
      <c r="D206" s="8" t="str" cm="1">
        <f t="array" ref="D206">_xlfn.IFS(C206&lt;=2, "Infant", C206&lt;=11, "Child", C206&lt;=17, "Adolescent", C206&lt;=44, "Young Adult", C206&lt;=64, "Middle Aged", C206&lt;=84,"Young Old", C206&gt;=85,"Oldest Old")</f>
        <v>Young Adult</v>
      </c>
      <c r="E206" t="s">
        <v>12</v>
      </c>
      <c r="F206" s="4">
        <v>46012</v>
      </c>
      <c r="G206" s="4">
        <v>46025</v>
      </c>
      <c r="H206" s="7">
        <f t="shared" si="9"/>
        <v>13</v>
      </c>
      <c r="I206" t="s">
        <v>60</v>
      </c>
      <c r="J206" t="s">
        <v>97</v>
      </c>
      <c r="K206" s="2">
        <v>33810.44</v>
      </c>
      <c r="L206" s="9">
        <v>0.9</v>
      </c>
      <c r="M206" s="15">
        <f t="shared" si="10"/>
        <v>30429.396000000004</v>
      </c>
      <c r="N206" s="15">
        <f t="shared" si="11"/>
        <v>3381.0439999999981</v>
      </c>
      <c r="O206" t="s">
        <v>15</v>
      </c>
    </row>
    <row r="207" spans="1:15" hidden="1" x14ac:dyDescent="0.35">
      <c r="A207" t="s">
        <v>452</v>
      </c>
      <c r="B207" t="s">
        <v>354</v>
      </c>
      <c r="C207">
        <v>8</v>
      </c>
      <c r="D207" s="8" t="str" cm="1">
        <f t="array" ref="D207">_xlfn.IFS(C207&lt;=2, "Infant", C207&lt;=11, "Child", C207&lt;=17, "Adolescent", C207&lt;=44, "Young Adult", C207&lt;=64, "Middle Aged", C207&lt;=84,"Young Old", C207&gt;=85,"Oldest Old")</f>
        <v>Child</v>
      </c>
      <c r="E207" t="s">
        <v>18</v>
      </c>
      <c r="F207" s="4">
        <v>45660</v>
      </c>
      <c r="G207" s="4">
        <v>45664</v>
      </c>
      <c r="H207" s="7">
        <f t="shared" si="9"/>
        <v>4</v>
      </c>
      <c r="I207" t="s">
        <v>49</v>
      </c>
      <c r="J207" t="s">
        <v>117</v>
      </c>
      <c r="K207" s="2">
        <v>4115.83</v>
      </c>
      <c r="L207" s="9">
        <v>0.5</v>
      </c>
      <c r="M207" s="15">
        <f t="shared" si="10"/>
        <v>2057.915</v>
      </c>
      <c r="N207" s="15">
        <f t="shared" si="11"/>
        <v>2057.915</v>
      </c>
      <c r="O207" t="s">
        <v>15</v>
      </c>
    </row>
    <row r="208" spans="1:15" hidden="1" x14ac:dyDescent="0.35">
      <c r="A208" t="s">
        <v>453</v>
      </c>
      <c r="B208" t="s">
        <v>454</v>
      </c>
      <c r="C208">
        <v>56</v>
      </c>
      <c r="D208" s="8" t="str" cm="1">
        <f t="array" ref="D208">_xlfn.IFS(C208&lt;=2, "Infant", C208&lt;=11, "Child", C208&lt;=17, "Adolescent", C208&lt;=44, "Young Adult", C208&lt;=64, "Middle Aged", C208&lt;=84,"Young Old", C208&gt;=85,"Oldest Old")</f>
        <v>Middle Aged</v>
      </c>
      <c r="E208" t="s">
        <v>18</v>
      </c>
      <c r="F208" s="4">
        <v>45748</v>
      </c>
      <c r="G208" s="4">
        <v>45754</v>
      </c>
      <c r="H208" s="7">
        <f t="shared" si="9"/>
        <v>6</v>
      </c>
      <c r="I208" t="s">
        <v>31</v>
      </c>
      <c r="J208" t="s">
        <v>35</v>
      </c>
      <c r="K208" s="2">
        <v>8245.4599999999991</v>
      </c>
      <c r="L208" s="9">
        <v>0.5</v>
      </c>
      <c r="M208" s="15">
        <f t="shared" si="10"/>
        <v>4122.7299999999996</v>
      </c>
      <c r="N208" s="15">
        <f t="shared" si="11"/>
        <v>4122.7299999999996</v>
      </c>
      <c r="O208" t="s">
        <v>25</v>
      </c>
    </row>
    <row r="209" spans="1:15" hidden="1" x14ac:dyDescent="0.35">
      <c r="A209" t="s">
        <v>455</v>
      </c>
      <c r="B209" t="s">
        <v>456</v>
      </c>
      <c r="C209">
        <v>11</v>
      </c>
      <c r="D209" s="8" t="str" cm="1">
        <f t="array" ref="D209">_xlfn.IFS(C209&lt;=2, "Infant", C209&lt;=11, "Child", C209&lt;=17, "Adolescent", C209&lt;=44, "Young Adult", C209&lt;=64, "Middle Aged", C209&lt;=84,"Young Old", C209&gt;=85,"Oldest Old")</f>
        <v>Child</v>
      </c>
      <c r="E209" t="s">
        <v>12</v>
      </c>
      <c r="F209" s="4">
        <v>45704</v>
      </c>
      <c r="G209" s="4">
        <v>45709</v>
      </c>
      <c r="H209" s="7">
        <f t="shared" si="9"/>
        <v>5</v>
      </c>
      <c r="I209" t="s">
        <v>49</v>
      </c>
      <c r="J209" t="s">
        <v>50</v>
      </c>
      <c r="K209" s="2">
        <v>7654.55</v>
      </c>
      <c r="L209" s="9">
        <v>1</v>
      </c>
      <c r="M209" s="15">
        <f t="shared" si="10"/>
        <v>7654.55</v>
      </c>
      <c r="N209" s="15">
        <f t="shared" si="11"/>
        <v>0</v>
      </c>
      <c r="O209" t="s">
        <v>15</v>
      </c>
    </row>
    <row r="210" spans="1:15" hidden="1" x14ac:dyDescent="0.35">
      <c r="A210" t="s">
        <v>457</v>
      </c>
      <c r="B210" t="s">
        <v>458</v>
      </c>
      <c r="C210">
        <v>52</v>
      </c>
      <c r="D210" s="8" t="str" cm="1">
        <f t="array" ref="D210">_xlfn.IFS(C210&lt;=2, "Infant", C210&lt;=11, "Child", C210&lt;=17, "Adolescent", C210&lt;=44, "Young Adult", C210&lt;=64, "Middle Aged", C210&lt;=84,"Young Old", C210&gt;=85,"Oldest Old")</f>
        <v>Middle Aged</v>
      </c>
      <c r="E210" t="s">
        <v>12</v>
      </c>
      <c r="F210" s="4">
        <v>45706</v>
      </c>
      <c r="G210" s="4">
        <v>45710</v>
      </c>
      <c r="H210" s="7">
        <f t="shared" si="9"/>
        <v>4</v>
      </c>
      <c r="I210" t="s">
        <v>70</v>
      </c>
      <c r="J210" t="s">
        <v>157</v>
      </c>
      <c r="K210" s="2">
        <v>7167.44</v>
      </c>
      <c r="L210" s="9">
        <v>0.8</v>
      </c>
      <c r="M210" s="15">
        <f t="shared" si="10"/>
        <v>5733.9520000000002</v>
      </c>
      <c r="N210" s="15">
        <f t="shared" si="11"/>
        <v>1433.4879999999994</v>
      </c>
      <c r="O210" t="s">
        <v>15</v>
      </c>
    </row>
    <row r="211" spans="1:15" hidden="1" x14ac:dyDescent="0.35">
      <c r="A211" t="s">
        <v>459</v>
      </c>
      <c r="B211" t="s">
        <v>460</v>
      </c>
      <c r="C211">
        <v>53</v>
      </c>
      <c r="D211" s="8" t="str" cm="1">
        <f t="array" ref="D211">_xlfn.IFS(C211&lt;=2, "Infant", C211&lt;=11, "Child", C211&lt;=17, "Adolescent", C211&lt;=44, "Young Adult", C211&lt;=64, "Middle Aged", C211&lt;=84,"Young Old", C211&gt;=85,"Oldest Old")</f>
        <v>Middle Aged</v>
      </c>
      <c r="E211" t="s">
        <v>18</v>
      </c>
      <c r="F211" s="4">
        <v>45809</v>
      </c>
      <c r="G211" s="4">
        <v>45811</v>
      </c>
      <c r="H211" s="7">
        <f t="shared" si="9"/>
        <v>2</v>
      </c>
      <c r="I211" t="s">
        <v>23</v>
      </c>
      <c r="J211" t="s">
        <v>24</v>
      </c>
      <c r="K211" s="2">
        <v>2556.12</v>
      </c>
      <c r="L211" s="9">
        <v>0.8</v>
      </c>
      <c r="M211" s="15">
        <f t="shared" si="10"/>
        <v>2044.896</v>
      </c>
      <c r="N211" s="15">
        <f t="shared" si="11"/>
        <v>511.22399999999993</v>
      </c>
      <c r="O211" t="s">
        <v>15</v>
      </c>
    </row>
    <row r="212" spans="1:15" hidden="1" x14ac:dyDescent="0.35">
      <c r="A212" t="s">
        <v>461</v>
      </c>
      <c r="B212" t="s">
        <v>396</v>
      </c>
      <c r="C212">
        <v>3</v>
      </c>
      <c r="D212" s="8" t="str" cm="1">
        <f t="array" ref="D212">_xlfn.IFS(C212&lt;=2, "Infant", C212&lt;=11, "Child", C212&lt;=17, "Adolescent", C212&lt;=44, "Young Adult", C212&lt;=64, "Middle Aged", C212&lt;=84,"Young Old", C212&gt;=85,"Oldest Old")</f>
        <v>Child</v>
      </c>
      <c r="E212" t="s">
        <v>12</v>
      </c>
      <c r="F212" s="4">
        <v>45509</v>
      </c>
      <c r="G212" s="4">
        <v>45512</v>
      </c>
      <c r="H212" s="7">
        <f t="shared" si="9"/>
        <v>3</v>
      </c>
      <c r="I212" t="s">
        <v>49</v>
      </c>
      <c r="J212" t="s">
        <v>123</v>
      </c>
      <c r="K212" s="2">
        <v>3139.43</v>
      </c>
      <c r="L212" s="9">
        <v>0.8</v>
      </c>
      <c r="M212" s="15">
        <f t="shared" si="10"/>
        <v>2511.5439999999999</v>
      </c>
      <c r="N212" s="15">
        <f t="shared" si="11"/>
        <v>627.88599999999997</v>
      </c>
      <c r="O212" t="s">
        <v>15</v>
      </c>
    </row>
    <row r="213" spans="1:15" hidden="1" x14ac:dyDescent="0.35">
      <c r="A213" t="s">
        <v>462</v>
      </c>
      <c r="B213" t="s">
        <v>463</v>
      </c>
      <c r="C213">
        <v>84</v>
      </c>
      <c r="D213" s="8" t="str" cm="1">
        <f t="array" ref="D213">_xlfn.IFS(C213&lt;=2, "Infant", C213&lt;=11, "Child", C213&lt;=17, "Adolescent", C213&lt;=44, "Young Adult", C213&lt;=64, "Middle Aged", C213&lt;=84,"Young Old", C213&gt;=85,"Oldest Old")</f>
        <v>Young Old</v>
      </c>
      <c r="E213" t="s">
        <v>12</v>
      </c>
      <c r="F213" s="4">
        <v>45731</v>
      </c>
      <c r="G213" s="4">
        <v>45732</v>
      </c>
      <c r="H213" s="7">
        <f t="shared" si="9"/>
        <v>1</v>
      </c>
      <c r="I213" t="s">
        <v>23</v>
      </c>
      <c r="J213" t="s">
        <v>24</v>
      </c>
      <c r="K213" s="2">
        <v>1893.98</v>
      </c>
      <c r="L213" s="9">
        <v>0.9</v>
      </c>
      <c r="M213" s="15">
        <f t="shared" si="10"/>
        <v>1704.5820000000001</v>
      </c>
      <c r="N213" s="15">
        <f t="shared" si="11"/>
        <v>189.39799999999991</v>
      </c>
      <c r="O213" t="s">
        <v>15</v>
      </c>
    </row>
    <row r="214" spans="1:15" hidden="1" x14ac:dyDescent="0.35">
      <c r="A214" t="s">
        <v>464</v>
      </c>
      <c r="B214" t="s">
        <v>408</v>
      </c>
      <c r="C214">
        <v>32</v>
      </c>
      <c r="D214" s="8" t="str" cm="1">
        <f t="array" ref="D214">_xlfn.IFS(C214&lt;=2, "Infant", C214&lt;=11, "Child", C214&lt;=17, "Adolescent", C214&lt;=44, "Young Adult", C214&lt;=64, "Middle Aged", C214&lt;=84,"Young Old", C214&gt;=85,"Oldest Old")</f>
        <v>Young Adult</v>
      </c>
      <c r="E214" t="s">
        <v>18</v>
      </c>
      <c r="F214" s="4">
        <v>45834</v>
      </c>
      <c r="G214" s="4">
        <v>45840</v>
      </c>
      <c r="H214" s="7">
        <f t="shared" si="9"/>
        <v>6</v>
      </c>
      <c r="I214" t="s">
        <v>70</v>
      </c>
      <c r="J214" t="s">
        <v>157</v>
      </c>
      <c r="K214" s="2">
        <v>11663.48</v>
      </c>
      <c r="L214" s="9">
        <v>0</v>
      </c>
      <c r="M214" s="15">
        <f t="shared" si="10"/>
        <v>0</v>
      </c>
      <c r="N214" s="15">
        <f t="shared" si="11"/>
        <v>11663.48</v>
      </c>
      <c r="O214" t="s">
        <v>20</v>
      </c>
    </row>
    <row r="215" spans="1:15" hidden="1" x14ac:dyDescent="0.35">
      <c r="A215" t="s">
        <v>465</v>
      </c>
      <c r="B215" t="s">
        <v>466</v>
      </c>
      <c r="C215">
        <v>39</v>
      </c>
      <c r="D215" s="8" t="str" cm="1">
        <f t="array" ref="D215">_xlfn.IFS(C215&lt;=2, "Infant", C215&lt;=11, "Child", C215&lt;=17, "Adolescent", C215&lt;=44, "Young Adult", C215&lt;=64, "Middle Aged", C215&lt;=84,"Young Old", C215&gt;=85,"Oldest Old")</f>
        <v>Young Adult</v>
      </c>
      <c r="E215" t="s">
        <v>18</v>
      </c>
      <c r="F215" s="4">
        <v>45541</v>
      </c>
      <c r="G215" s="4">
        <v>45544</v>
      </c>
      <c r="H215" s="7">
        <f t="shared" si="9"/>
        <v>3</v>
      </c>
      <c r="I215" t="s">
        <v>31</v>
      </c>
      <c r="J215" t="s">
        <v>114</v>
      </c>
      <c r="K215" s="2">
        <v>1596.88</v>
      </c>
      <c r="L215" s="9">
        <v>0.5</v>
      </c>
      <c r="M215" s="15">
        <f t="shared" si="10"/>
        <v>798.44</v>
      </c>
      <c r="N215" s="15">
        <f t="shared" si="11"/>
        <v>798.44</v>
      </c>
      <c r="O215" t="s">
        <v>25</v>
      </c>
    </row>
    <row r="216" spans="1:15" hidden="1" x14ac:dyDescent="0.35">
      <c r="A216" t="s">
        <v>467</v>
      </c>
      <c r="B216" t="s">
        <v>468</v>
      </c>
      <c r="C216">
        <v>49</v>
      </c>
      <c r="D216" s="8" t="str" cm="1">
        <f t="array" ref="D216">_xlfn.IFS(C216&lt;=2, "Infant", C216&lt;=11, "Child", C216&lt;=17, "Adolescent", C216&lt;=44, "Young Adult", C216&lt;=64, "Middle Aged", C216&lt;=84,"Young Old", C216&gt;=85,"Oldest Old")</f>
        <v>Middle Aged</v>
      </c>
      <c r="E216" t="s">
        <v>18</v>
      </c>
      <c r="F216" s="4">
        <v>45508</v>
      </c>
      <c r="G216" s="4">
        <v>45513</v>
      </c>
      <c r="H216" s="7">
        <f t="shared" si="9"/>
        <v>5</v>
      </c>
      <c r="I216" t="s">
        <v>31</v>
      </c>
      <c r="J216" t="s">
        <v>44</v>
      </c>
      <c r="K216" s="2">
        <v>4111.79</v>
      </c>
      <c r="L216" s="9">
        <v>0.8</v>
      </c>
      <c r="M216" s="15">
        <f t="shared" si="10"/>
        <v>3289.4320000000002</v>
      </c>
      <c r="N216" s="15">
        <f t="shared" si="11"/>
        <v>822.35799999999972</v>
      </c>
      <c r="O216" t="s">
        <v>15</v>
      </c>
    </row>
    <row r="217" spans="1:15" hidden="1" x14ac:dyDescent="0.35">
      <c r="A217" t="s">
        <v>469</v>
      </c>
      <c r="B217" t="s">
        <v>470</v>
      </c>
      <c r="C217">
        <v>28</v>
      </c>
      <c r="D217" s="8" t="str" cm="1">
        <f t="array" ref="D217">_xlfn.IFS(C217&lt;=2, "Infant", C217&lt;=11, "Child", C217&lt;=17, "Adolescent", C217&lt;=44, "Young Adult", C217&lt;=64, "Middle Aged", C217&lt;=84,"Young Old", C217&gt;=85,"Oldest Old")</f>
        <v>Young Adult</v>
      </c>
      <c r="E217" t="s">
        <v>12</v>
      </c>
      <c r="F217" s="4">
        <v>45375</v>
      </c>
      <c r="G217" s="4">
        <v>45378</v>
      </c>
      <c r="H217" s="7">
        <f t="shared" si="9"/>
        <v>3</v>
      </c>
      <c r="I217" t="s">
        <v>23</v>
      </c>
      <c r="J217" t="s">
        <v>24</v>
      </c>
      <c r="K217" s="2">
        <v>6606.32</v>
      </c>
      <c r="L217" s="9">
        <v>0.8</v>
      </c>
      <c r="M217" s="15">
        <f t="shared" si="10"/>
        <v>5285.0560000000005</v>
      </c>
      <c r="N217" s="15">
        <f t="shared" si="11"/>
        <v>1321.2639999999992</v>
      </c>
      <c r="O217" t="s">
        <v>15</v>
      </c>
    </row>
    <row r="218" spans="1:15" hidden="1" x14ac:dyDescent="0.35">
      <c r="A218" t="s">
        <v>471</v>
      </c>
      <c r="B218" t="s">
        <v>472</v>
      </c>
      <c r="C218">
        <v>53</v>
      </c>
      <c r="D218" s="8" t="str" cm="1">
        <f t="array" ref="D218">_xlfn.IFS(C218&lt;=2, "Infant", C218&lt;=11, "Child", C218&lt;=17, "Adolescent", C218&lt;=44, "Young Adult", C218&lt;=64, "Middle Aged", C218&lt;=84,"Young Old", C218&gt;=85,"Oldest Old")</f>
        <v>Middle Aged</v>
      </c>
      <c r="E218" t="s">
        <v>18</v>
      </c>
      <c r="F218" s="4">
        <v>45541</v>
      </c>
      <c r="G218" s="4">
        <v>45553</v>
      </c>
      <c r="H218" s="7">
        <f t="shared" si="9"/>
        <v>12</v>
      </c>
      <c r="I218" t="s">
        <v>70</v>
      </c>
      <c r="J218" t="s">
        <v>295</v>
      </c>
      <c r="K218" s="2">
        <v>31197</v>
      </c>
      <c r="L218" s="9">
        <v>0.8</v>
      </c>
      <c r="M218" s="15">
        <f t="shared" si="10"/>
        <v>24957.600000000002</v>
      </c>
      <c r="N218" s="15">
        <f t="shared" si="11"/>
        <v>6239.3999999999978</v>
      </c>
      <c r="O218" t="s">
        <v>20</v>
      </c>
    </row>
    <row r="219" spans="1:15" hidden="1" x14ac:dyDescent="0.35">
      <c r="A219" t="s">
        <v>473</v>
      </c>
      <c r="B219" t="s">
        <v>474</v>
      </c>
      <c r="C219">
        <v>46</v>
      </c>
      <c r="D219" s="8" t="str" cm="1">
        <f t="array" ref="D219">_xlfn.IFS(C219&lt;=2, "Infant", C219&lt;=11, "Child", C219&lt;=17, "Adolescent", C219&lt;=44, "Young Adult", C219&lt;=64, "Middle Aged", C219&lt;=84,"Young Old", C219&gt;=85,"Oldest Old")</f>
        <v>Middle Aged</v>
      </c>
      <c r="E219" t="s">
        <v>12</v>
      </c>
      <c r="F219" s="4">
        <v>45658</v>
      </c>
      <c r="G219" s="4">
        <v>45668</v>
      </c>
      <c r="H219" s="7">
        <f t="shared" si="9"/>
        <v>10</v>
      </c>
      <c r="I219" t="s">
        <v>13</v>
      </c>
      <c r="J219" t="s">
        <v>19</v>
      </c>
      <c r="K219" s="2">
        <v>23891.3</v>
      </c>
      <c r="L219" s="9">
        <v>0.9</v>
      </c>
      <c r="M219" s="15">
        <f t="shared" si="10"/>
        <v>21502.17</v>
      </c>
      <c r="N219" s="15">
        <f t="shared" si="11"/>
        <v>2389.130000000001</v>
      </c>
      <c r="O219" t="s">
        <v>15</v>
      </c>
    </row>
    <row r="220" spans="1:15" hidden="1" x14ac:dyDescent="0.35">
      <c r="A220" t="s">
        <v>475</v>
      </c>
      <c r="B220" t="s">
        <v>476</v>
      </c>
      <c r="C220">
        <v>66</v>
      </c>
      <c r="D220" s="8" t="str" cm="1">
        <f t="array" ref="D220">_xlfn.IFS(C220&lt;=2, "Infant", C220&lt;=11, "Child", C220&lt;=17, "Adolescent", C220&lt;=44, "Young Adult", C220&lt;=64, "Middle Aged", C220&lt;=84,"Young Old", C220&gt;=85,"Oldest Old")</f>
        <v>Young Old</v>
      </c>
      <c r="E220" t="s">
        <v>12</v>
      </c>
      <c r="F220" s="4">
        <v>45978</v>
      </c>
      <c r="G220" s="4">
        <v>45988</v>
      </c>
      <c r="H220" s="7">
        <f t="shared" si="9"/>
        <v>10</v>
      </c>
      <c r="I220" t="s">
        <v>13</v>
      </c>
      <c r="J220" t="s">
        <v>111</v>
      </c>
      <c r="K220" s="2">
        <v>18293.13</v>
      </c>
      <c r="L220" s="9">
        <v>0.6</v>
      </c>
      <c r="M220" s="15">
        <f t="shared" si="10"/>
        <v>10975.878000000001</v>
      </c>
      <c r="N220" s="15">
        <f t="shared" si="11"/>
        <v>7317.2520000000004</v>
      </c>
      <c r="O220" t="s">
        <v>25</v>
      </c>
    </row>
    <row r="221" spans="1:15" hidden="1" x14ac:dyDescent="0.35">
      <c r="A221" t="s">
        <v>477</v>
      </c>
      <c r="B221" t="s">
        <v>478</v>
      </c>
      <c r="C221">
        <v>28</v>
      </c>
      <c r="D221" s="8" t="str" cm="1">
        <f t="array" ref="D221">_xlfn.IFS(C221&lt;=2, "Infant", C221&lt;=11, "Child", C221&lt;=17, "Adolescent", C221&lt;=44, "Young Adult", C221&lt;=64, "Middle Aged", C221&lt;=84,"Young Old", C221&gt;=85,"Oldest Old")</f>
        <v>Young Adult</v>
      </c>
      <c r="E221" t="s">
        <v>18</v>
      </c>
      <c r="F221" s="4">
        <v>45524</v>
      </c>
      <c r="G221" s="4">
        <v>45527</v>
      </c>
      <c r="H221" s="7">
        <f t="shared" si="9"/>
        <v>3</v>
      </c>
      <c r="I221" t="s">
        <v>23</v>
      </c>
      <c r="J221" t="s">
        <v>204</v>
      </c>
      <c r="K221" s="2">
        <v>7364.68</v>
      </c>
      <c r="L221" s="9">
        <v>0.7</v>
      </c>
      <c r="M221" s="15">
        <f t="shared" si="10"/>
        <v>5155.2759999999998</v>
      </c>
      <c r="N221" s="15">
        <f t="shared" si="11"/>
        <v>2209.4040000000005</v>
      </c>
      <c r="O221" t="s">
        <v>20</v>
      </c>
    </row>
    <row r="222" spans="1:15" hidden="1" x14ac:dyDescent="0.35">
      <c r="A222" t="s">
        <v>479</v>
      </c>
      <c r="B222" t="s">
        <v>480</v>
      </c>
      <c r="C222">
        <v>3</v>
      </c>
      <c r="D222" s="8" t="str" cm="1">
        <f t="array" ref="D222">_xlfn.IFS(C222&lt;=2, "Infant", C222&lt;=11, "Child", C222&lt;=17, "Adolescent", C222&lt;=44, "Young Adult", C222&lt;=64, "Middle Aged", C222&lt;=84,"Young Old", C222&gt;=85,"Oldest Old")</f>
        <v>Child</v>
      </c>
      <c r="E222" t="s">
        <v>18</v>
      </c>
      <c r="F222" s="4">
        <v>45469</v>
      </c>
      <c r="G222" s="4">
        <v>45471</v>
      </c>
      <c r="H222" s="7">
        <f t="shared" si="9"/>
        <v>2</v>
      </c>
      <c r="I222" t="s">
        <v>49</v>
      </c>
      <c r="J222" t="s">
        <v>50</v>
      </c>
      <c r="K222" s="2">
        <v>2403.02</v>
      </c>
      <c r="L222" s="9">
        <v>0.8</v>
      </c>
      <c r="M222" s="15">
        <f t="shared" si="10"/>
        <v>1922.4160000000002</v>
      </c>
      <c r="N222" s="15">
        <f t="shared" si="11"/>
        <v>480.60399999999981</v>
      </c>
      <c r="O222" t="s">
        <v>15</v>
      </c>
    </row>
    <row r="223" spans="1:15" hidden="1" x14ac:dyDescent="0.35">
      <c r="A223" t="s">
        <v>481</v>
      </c>
      <c r="B223" t="s">
        <v>482</v>
      </c>
      <c r="C223">
        <v>68</v>
      </c>
      <c r="D223" s="8" t="str" cm="1">
        <f t="array" ref="D223">_xlfn.IFS(C223&lt;=2, "Infant", C223&lt;=11, "Child", C223&lt;=17, "Adolescent", C223&lt;=44, "Young Adult", C223&lt;=64, "Middle Aged", C223&lt;=84,"Young Old", C223&gt;=85,"Oldest Old")</f>
        <v>Young Old</v>
      </c>
      <c r="E223" t="s">
        <v>12</v>
      </c>
      <c r="F223" s="4">
        <v>45990</v>
      </c>
      <c r="G223" s="4">
        <v>46000</v>
      </c>
      <c r="H223" s="7">
        <f t="shared" si="9"/>
        <v>10</v>
      </c>
      <c r="I223" t="s">
        <v>70</v>
      </c>
      <c r="J223" t="s">
        <v>94</v>
      </c>
      <c r="K223" s="2">
        <v>22054.65</v>
      </c>
      <c r="L223" s="9">
        <v>0.8</v>
      </c>
      <c r="M223" s="15">
        <f t="shared" si="10"/>
        <v>17643.72</v>
      </c>
      <c r="N223" s="15">
        <f t="shared" si="11"/>
        <v>4410.93</v>
      </c>
      <c r="O223" t="s">
        <v>20</v>
      </c>
    </row>
    <row r="224" spans="1:15" hidden="1" x14ac:dyDescent="0.35">
      <c r="A224" t="s">
        <v>483</v>
      </c>
      <c r="B224" t="s">
        <v>484</v>
      </c>
      <c r="C224">
        <v>40</v>
      </c>
      <c r="D224" s="8" t="str" cm="1">
        <f t="array" ref="D224">_xlfn.IFS(C224&lt;=2, "Infant", C224&lt;=11, "Child", C224&lt;=17, "Adolescent", C224&lt;=44, "Young Adult", C224&lt;=64, "Middle Aged", C224&lt;=84,"Young Old", C224&gt;=85,"Oldest Old")</f>
        <v>Young Adult</v>
      </c>
      <c r="E224" t="s">
        <v>12</v>
      </c>
      <c r="F224" s="4">
        <v>46013</v>
      </c>
      <c r="G224" s="4">
        <v>46018</v>
      </c>
      <c r="H224" s="7">
        <f t="shared" si="9"/>
        <v>5</v>
      </c>
      <c r="I224" t="s">
        <v>31</v>
      </c>
      <c r="J224" t="s">
        <v>44</v>
      </c>
      <c r="K224" s="2">
        <v>6331.28</v>
      </c>
      <c r="L224" s="9">
        <v>0.8</v>
      </c>
      <c r="M224" s="15">
        <f t="shared" si="10"/>
        <v>5065.0240000000003</v>
      </c>
      <c r="N224" s="15">
        <f t="shared" si="11"/>
        <v>1266.2559999999994</v>
      </c>
      <c r="O224" t="s">
        <v>25</v>
      </c>
    </row>
    <row r="225" spans="1:15" hidden="1" x14ac:dyDescent="0.35">
      <c r="A225" t="s">
        <v>485</v>
      </c>
      <c r="B225" t="s">
        <v>486</v>
      </c>
      <c r="C225">
        <v>63</v>
      </c>
      <c r="D225" s="8" t="str" cm="1">
        <f t="array" ref="D225">_xlfn.IFS(C225&lt;=2, "Infant", C225&lt;=11, "Child", C225&lt;=17, "Adolescent", C225&lt;=44, "Young Adult", C225&lt;=64, "Middle Aged", C225&lt;=84,"Young Old", C225&gt;=85,"Oldest Old")</f>
        <v>Middle Aged</v>
      </c>
      <c r="E225" t="s">
        <v>12</v>
      </c>
      <c r="F225" s="4">
        <v>45574</v>
      </c>
      <c r="G225" s="4">
        <v>45584</v>
      </c>
      <c r="H225" s="7">
        <f t="shared" si="9"/>
        <v>10</v>
      </c>
      <c r="I225" t="s">
        <v>13</v>
      </c>
      <c r="J225" t="s">
        <v>165</v>
      </c>
      <c r="K225" s="2">
        <v>27345.03</v>
      </c>
      <c r="L225" s="9">
        <v>1</v>
      </c>
      <c r="M225" s="15">
        <f t="shared" si="10"/>
        <v>27345.03</v>
      </c>
      <c r="N225" s="15">
        <f t="shared" si="11"/>
        <v>0</v>
      </c>
      <c r="O225" t="s">
        <v>20</v>
      </c>
    </row>
    <row r="226" spans="1:15" hidden="1" x14ac:dyDescent="0.35">
      <c r="A226" t="s">
        <v>487</v>
      </c>
      <c r="B226" t="s">
        <v>488</v>
      </c>
      <c r="C226">
        <v>44</v>
      </c>
      <c r="D226" s="8" t="str" cm="1">
        <f t="array" ref="D226">_xlfn.IFS(C226&lt;=2, "Infant", C226&lt;=11, "Child", C226&lt;=17, "Adolescent", C226&lt;=44, "Young Adult", C226&lt;=64, "Middle Aged", C226&lt;=84,"Young Old", C226&gt;=85,"Oldest Old")</f>
        <v>Young Adult</v>
      </c>
      <c r="E226" t="s">
        <v>18</v>
      </c>
      <c r="F226" s="4">
        <v>45414</v>
      </c>
      <c r="G226" s="4">
        <v>45422</v>
      </c>
      <c r="H226" s="7">
        <f t="shared" si="9"/>
        <v>8</v>
      </c>
      <c r="I226" t="s">
        <v>60</v>
      </c>
      <c r="J226" t="s">
        <v>61</v>
      </c>
      <c r="K226" s="2">
        <v>11435.94</v>
      </c>
      <c r="L226" s="9">
        <v>0.9</v>
      </c>
      <c r="M226" s="15">
        <f t="shared" si="10"/>
        <v>10292.346000000001</v>
      </c>
      <c r="N226" s="15">
        <f t="shared" si="11"/>
        <v>1143.5939999999991</v>
      </c>
      <c r="O226" t="s">
        <v>15</v>
      </c>
    </row>
    <row r="227" spans="1:15" hidden="1" x14ac:dyDescent="0.35">
      <c r="A227" t="s">
        <v>489</v>
      </c>
      <c r="B227" t="s">
        <v>490</v>
      </c>
      <c r="C227">
        <v>70</v>
      </c>
      <c r="D227" s="8" t="str" cm="1">
        <f t="array" ref="D227">_xlfn.IFS(C227&lt;=2, "Infant", C227&lt;=11, "Child", C227&lt;=17, "Adolescent", C227&lt;=44, "Young Adult", C227&lt;=64, "Middle Aged", C227&lt;=84,"Young Old", C227&gt;=85,"Oldest Old")</f>
        <v>Young Old</v>
      </c>
      <c r="E227" t="s">
        <v>12</v>
      </c>
      <c r="F227" s="4">
        <v>45553</v>
      </c>
      <c r="G227" s="4">
        <v>45554</v>
      </c>
      <c r="H227" s="7">
        <f t="shared" si="9"/>
        <v>1</v>
      </c>
      <c r="I227" t="s">
        <v>23</v>
      </c>
      <c r="J227" t="s">
        <v>333</v>
      </c>
      <c r="K227" s="2">
        <v>859.95</v>
      </c>
      <c r="L227" s="9">
        <v>0.6</v>
      </c>
      <c r="M227" s="15">
        <f t="shared" si="10"/>
        <v>515.97</v>
      </c>
      <c r="N227" s="15">
        <f t="shared" si="11"/>
        <v>343.98</v>
      </c>
      <c r="O227" t="s">
        <v>20</v>
      </c>
    </row>
    <row r="228" spans="1:15" hidden="1" x14ac:dyDescent="0.35">
      <c r="A228" t="s">
        <v>491</v>
      </c>
      <c r="B228" t="s">
        <v>492</v>
      </c>
      <c r="C228">
        <v>1</v>
      </c>
      <c r="D228" s="8" t="str" cm="1">
        <f t="array" ref="D228">_xlfn.IFS(C228&lt;=2, "Infant", C228&lt;=11, "Child", C228&lt;=17, "Adolescent", C228&lt;=44, "Young Adult", C228&lt;=64, "Middle Aged", C228&lt;=84,"Young Old", C228&gt;=85,"Oldest Old")</f>
        <v>Infant</v>
      </c>
      <c r="E228" t="s">
        <v>12</v>
      </c>
      <c r="F228" s="4">
        <v>45400</v>
      </c>
      <c r="G228" s="4">
        <v>45403</v>
      </c>
      <c r="H228" s="7">
        <f t="shared" si="9"/>
        <v>3</v>
      </c>
      <c r="I228" t="s">
        <v>49</v>
      </c>
      <c r="J228" t="s">
        <v>120</v>
      </c>
      <c r="K228" s="2">
        <v>2590.21</v>
      </c>
      <c r="L228" s="9">
        <v>0.9</v>
      </c>
      <c r="M228" s="15">
        <f t="shared" si="10"/>
        <v>2331.1890000000003</v>
      </c>
      <c r="N228" s="15">
        <f t="shared" si="11"/>
        <v>259.02099999999973</v>
      </c>
      <c r="O228" t="s">
        <v>20</v>
      </c>
    </row>
    <row r="229" spans="1:15" hidden="1" x14ac:dyDescent="0.35">
      <c r="A229" t="s">
        <v>493</v>
      </c>
      <c r="B229" t="s">
        <v>17</v>
      </c>
      <c r="C229">
        <v>48</v>
      </c>
      <c r="D229" s="8" t="str" cm="1">
        <f t="array" ref="D229">_xlfn.IFS(C229&lt;=2, "Infant", C229&lt;=11, "Child", C229&lt;=17, "Adolescent", C229&lt;=44, "Young Adult", C229&lt;=64, "Middle Aged", C229&lt;=84,"Young Old", C229&gt;=85,"Oldest Old")</f>
        <v>Middle Aged</v>
      </c>
      <c r="E229" t="s">
        <v>18</v>
      </c>
      <c r="F229" s="4">
        <v>45864</v>
      </c>
      <c r="G229" s="4">
        <v>45865</v>
      </c>
      <c r="H229" s="7">
        <f t="shared" si="9"/>
        <v>1</v>
      </c>
      <c r="I229" t="s">
        <v>31</v>
      </c>
      <c r="J229" t="s">
        <v>44</v>
      </c>
      <c r="K229" s="2">
        <v>791.92</v>
      </c>
      <c r="L229" s="9">
        <v>0.5</v>
      </c>
      <c r="M229" s="15">
        <f t="shared" si="10"/>
        <v>395.96</v>
      </c>
      <c r="N229" s="15">
        <f t="shared" si="11"/>
        <v>395.96</v>
      </c>
      <c r="O229" t="s">
        <v>25</v>
      </c>
    </row>
    <row r="230" spans="1:15" hidden="1" x14ac:dyDescent="0.35">
      <c r="A230" t="s">
        <v>494</v>
      </c>
      <c r="B230" t="s">
        <v>181</v>
      </c>
      <c r="C230">
        <v>48</v>
      </c>
      <c r="D230" s="8" t="str" cm="1">
        <f t="array" ref="D230">_xlfn.IFS(C230&lt;=2, "Infant", C230&lt;=11, "Child", C230&lt;=17, "Adolescent", C230&lt;=44, "Young Adult", C230&lt;=64, "Middle Aged", C230&lt;=84,"Young Old", C230&gt;=85,"Oldest Old")</f>
        <v>Middle Aged</v>
      </c>
      <c r="E230" t="s">
        <v>18</v>
      </c>
      <c r="F230" s="4">
        <v>45514</v>
      </c>
      <c r="G230" s="4">
        <v>45517</v>
      </c>
      <c r="H230" s="7">
        <f t="shared" si="9"/>
        <v>3</v>
      </c>
      <c r="I230" t="s">
        <v>23</v>
      </c>
      <c r="J230" t="s">
        <v>221</v>
      </c>
      <c r="K230" s="2">
        <v>3524.43</v>
      </c>
      <c r="L230" s="9">
        <v>0.8</v>
      </c>
      <c r="M230" s="15">
        <f t="shared" si="10"/>
        <v>2819.5439999999999</v>
      </c>
      <c r="N230" s="15">
        <f t="shared" si="11"/>
        <v>704.88599999999997</v>
      </c>
      <c r="O230" t="s">
        <v>15</v>
      </c>
    </row>
    <row r="231" spans="1:15" hidden="1" x14ac:dyDescent="0.35">
      <c r="A231" t="s">
        <v>495</v>
      </c>
      <c r="B231" t="s">
        <v>496</v>
      </c>
      <c r="C231">
        <v>43</v>
      </c>
      <c r="D231" s="8" t="str" cm="1">
        <f t="array" ref="D231">_xlfn.IFS(C231&lt;=2, "Infant", C231&lt;=11, "Child", C231&lt;=17, "Adolescent", C231&lt;=44, "Young Adult", C231&lt;=64, "Middle Aged", C231&lt;=84,"Young Old", C231&gt;=85,"Oldest Old")</f>
        <v>Young Adult</v>
      </c>
      <c r="E231" t="s">
        <v>12</v>
      </c>
      <c r="F231" s="4">
        <v>45455</v>
      </c>
      <c r="G231" s="4">
        <v>45457</v>
      </c>
      <c r="H231" s="7">
        <f t="shared" si="9"/>
        <v>2</v>
      </c>
      <c r="I231" t="s">
        <v>60</v>
      </c>
      <c r="J231" t="s">
        <v>97</v>
      </c>
      <c r="K231" s="2">
        <v>4464.59</v>
      </c>
      <c r="L231" s="9">
        <v>0</v>
      </c>
      <c r="M231" s="15">
        <f t="shared" si="10"/>
        <v>0</v>
      </c>
      <c r="N231" s="15">
        <f t="shared" si="11"/>
        <v>4464.59</v>
      </c>
      <c r="O231" t="s">
        <v>25</v>
      </c>
    </row>
    <row r="232" spans="1:15" hidden="1" x14ac:dyDescent="0.35">
      <c r="A232" t="s">
        <v>497</v>
      </c>
      <c r="B232" t="s">
        <v>498</v>
      </c>
      <c r="C232">
        <v>24</v>
      </c>
      <c r="D232" s="8" t="str" cm="1">
        <f t="array" ref="D232">_xlfn.IFS(C232&lt;=2, "Infant", C232&lt;=11, "Child", C232&lt;=17, "Adolescent", C232&lt;=44, "Young Adult", C232&lt;=64, "Middle Aged", C232&lt;=84,"Young Old", C232&gt;=85,"Oldest Old")</f>
        <v>Young Adult</v>
      </c>
      <c r="E232" t="s">
        <v>18</v>
      </c>
      <c r="F232" s="4">
        <v>45370</v>
      </c>
      <c r="G232" s="4">
        <v>45373</v>
      </c>
      <c r="H232" s="7">
        <f t="shared" si="9"/>
        <v>3</v>
      </c>
      <c r="I232" t="s">
        <v>23</v>
      </c>
      <c r="J232" t="s">
        <v>333</v>
      </c>
      <c r="K232" s="2">
        <v>4867.6099999999997</v>
      </c>
      <c r="L232" s="9">
        <v>0.7</v>
      </c>
      <c r="M232" s="15">
        <f t="shared" si="10"/>
        <v>3407.3269999999998</v>
      </c>
      <c r="N232" s="15">
        <f t="shared" si="11"/>
        <v>1460.2829999999999</v>
      </c>
      <c r="O232" t="s">
        <v>15</v>
      </c>
    </row>
    <row r="233" spans="1:15" hidden="1" x14ac:dyDescent="0.35">
      <c r="A233" t="s">
        <v>499</v>
      </c>
      <c r="B233" t="s">
        <v>500</v>
      </c>
      <c r="C233">
        <v>41</v>
      </c>
      <c r="D233" s="8" t="str" cm="1">
        <f t="array" ref="D233">_xlfn.IFS(C233&lt;=2, "Infant", C233&lt;=11, "Child", C233&lt;=17, "Adolescent", C233&lt;=44, "Young Adult", C233&lt;=64, "Middle Aged", C233&lt;=84,"Young Old", C233&gt;=85,"Oldest Old")</f>
        <v>Young Adult</v>
      </c>
      <c r="E233" t="s">
        <v>12</v>
      </c>
      <c r="F233" s="4">
        <v>45605</v>
      </c>
      <c r="G233" s="4">
        <v>45609</v>
      </c>
      <c r="H233" s="7">
        <f t="shared" si="9"/>
        <v>4</v>
      </c>
      <c r="I233" t="s">
        <v>13</v>
      </c>
      <c r="J233" t="s">
        <v>165</v>
      </c>
      <c r="K233" s="2">
        <v>5584.74</v>
      </c>
      <c r="L233" s="9">
        <v>1</v>
      </c>
      <c r="M233" s="15">
        <f t="shared" si="10"/>
        <v>5584.74</v>
      </c>
      <c r="N233" s="15">
        <f t="shared" si="11"/>
        <v>0</v>
      </c>
      <c r="O233" t="s">
        <v>15</v>
      </c>
    </row>
    <row r="234" spans="1:15" hidden="1" x14ac:dyDescent="0.35">
      <c r="A234" t="s">
        <v>501</v>
      </c>
      <c r="B234" t="s">
        <v>502</v>
      </c>
      <c r="C234">
        <v>51</v>
      </c>
      <c r="D234" s="8" t="str" cm="1">
        <f t="array" ref="D234">_xlfn.IFS(C234&lt;=2, "Infant", C234&lt;=11, "Child", C234&lt;=17, "Adolescent", C234&lt;=44, "Young Adult", C234&lt;=64, "Middle Aged", C234&lt;=84,"Young Old", C234&gt;=85,"Oldest Old")</f>
        <v>Middle Aged</v>
      </c>
      <c r="E234" t="s">
        <v>18</v>
      </c>
      <c r="F234" s="4">
        <v>45782</v>
      </c>
      <c r="G234" s="4">
        <v>45784</v>
      </c>
      <c r="H234" s="7">
        <f t="shared" si="9"/>
        <v>2</v>
      </c>
      <c r="I234" t="s">
        <v>23</v>
      </c>
      <c r="J234" t="s">
        <v>24</v>
      </c>
      <c r="K234" s="2">
        <v>4718.74</v>
      </c>
      <c r="L234" s="9">
        <v>0.8</v>
      </c>
      <c r="M234" s="15">
        <f t="shared" si="10"/>
        <v>3774.9920000000002</v>
      </c>
      <c r="N234" s="15">
        <f t="shared" si="11"/>
        <v>943.74799999999959</v>
      </c>
      <c r="O234" t="s">
        <v>20</v>
      </c>
    </row>
    <row r="235" spans="1:15" hidden="1" x14ac:dyDescent="0.35">
      <c r="A235" t="s">
        <v>503</v>
      </c>
      <c r="B235" t="s">
        <v>504</v>
      </c>
      <c r="C235">
        <v>10</v>
      </c>
      <c r="D235" s="8" t="str" cm="1">
        <f t="array" ref="D235">_xlfn.IFS(C235&lt;=2, "Infant", C235&lt;=11, "Child", C235&lt;=17, "Adolescent", C235&lt;=44, "Young Adult", C235&lt;=64, "Middle Aged", C235&lt;=84,"Young Old", C235&gt;=85,"Oldest Old")</f>
        <v>Child</v>
      </c>
      <c r="E235" t="s">
        <v>12</v>
      </c>
      <c r="F235" s="4">
        <v>45702</v>
      </c>
      <c r="G235" s="4">
        <v>45703</v>
      </c>
      <c r="H235" s="7">
        <f t="shared" si="9"/>
        <v>1</v>
      </c>
      <c r="I235" t="s">
        <v>49</v>
      </c>
      <c r="J235" t="s">
        <v>378</v>
      </c>
      <c r="K235" s="2">
        <v>1605.56</v>
      </c>
      <c r="L235" s="9">
        <v>0.8</v>
      </c>
      <c r="M235" s="15">
        <f t="shared" si="10"/>
        <v>1284.4480000000001</v>
      </c>
      <c r="N235" s="15">
        <f t="shared" si="11"/>
        <v>321.11199999999985</v>
      </c>
      <c r="O235" t="s">
        <v>20</v>
      </c>
    </row>
    <row r="236" spans="1:15" hidden="1" x14ac:dyDescent="0.35">
      <c r="A236" t="s">
        <v>505</v>
      </c>
      <c r="B236" t="s">
        <v>506</v>
      </c>
      <c r="C236">
        <v>75</v>
      </c>
      <c r="D236" s="8" t="str" cm="1">
        <f t="array" ref="D236">_xlfn.IFS(C236&lt;=2, "Infant", C236&lt;=11, "Child", C236&lt;=17, "Adolescent", C236&lt;=44, "Young Adult", C236&lt;=64, "Middle Aged", C236&lt;=84,"Young Old", C236&gt;=85,"Oldest Old")</f>
        <v>Young Old</v>
      </c>
      <c r="E236" t="s">
        <v>12</v>
      </c>
      <c r="F236" s="4">
        <v>45716</v>
      </c>
      <c r="G236" s="4">
        <v>45717</v>
      </c>
      <c r="H236" s="7">
        <f t="shared" si="9"/>
        <v>1</v>
      </c>
      <c r="I236" t="s">
        <v>31</v>
      </c>
      <c r="J236" t="s">
        <v>35</v>
      </c>
      <c r="K236" s="2">
        <v>1383.31</v>
      </c>
      <c r="L236" s="9">
        <v>0.9</v>
      </c>
      <c r="M236" s="15">
        <f t="shared" si="10"/>
        <v>1244.979</v>
      </c>
      <c r="N236" s="15">
        <f t="shared" si="11"/>
        <v>138.3309999999999</v>
      </c>
      <c r="O236" t="s">
        <v>15</v>
      </c>
    </row>
    <row r="237" spans="1:15" hidden="1" x14ac:dyDescent="0.35">
      <c r="A237" t="s">
        <v>507</v>
      </c>
      <c r="B237" t="s">
        <v>508</v>
      </c>
      <c r="C237">
        <v>50</v>
      </c>
      <c r="D237" s="8" t="str" cm="1">
        <f t="array" ref="D237">_xlfn.IFS(C237&lt;=2, "Infant", C237&lt;=11, "Child", C237&lt;=17, "Adolescent", C237&lt;=44, "Young Adult", C237&lt;=64, "Middle Aged", C237&lt;=84,"Young Old", C237&gt;=85,"Oldest Old")</f>
        <v>Middle Aged</v>
      </c>
      <c r="E237" t="s">
        <v>18</v>
      </c>
      <c r="F237" s="4">
        <v>45747</v>
      </c>
      <c r="G237" s="4">
        <v>45755</v>
      </c>
      <c r="H237" s="7">
        <f t="shared" si="9"/>
        <v>8</v>
      </c>
      <c r="I237" t="s">
        <v>13</v>
      </c>
      <c r="J237" t="s">
        <v>111</v>
      </c>
      <c r="K237" s="2">
        <v>19135.11</v>
      </c>
      <c r="L237" s="9">
        <v>0.8</v>
      </c>
      <c r="M237" s="15">
        <f t="shared" si="10"/>
        <v>15308.088000000002</v>
      </c>
      <c r="N237" s="15">
        <f t="shared" si="11"/>
        <v>3827.021999999999</v>
      </c>
      <c r="O237" t="s">
        <v>15</v>
      </c>
    </row>
    <row r="238" spans="1:15" hidden="1" x14ac:dyDescent="0.35">
      <c r="A238" t="s">
        <v>509</v>
      </c>
      <c r="B238" t="s">
        <v>510</v>
      </c>
      <c r="C238">
        <v>46</v>
      </c>
      <c r="D238" s="8" t="str" cm="1">
        <f t="array" ref="D238">_xlfn.IFS(C238&lt;=2, "Infant", C238&lt;=11, "Child", C238&lt;=17, "Adolescent", C238&lt;=44, "Young Adult", C238&lt;=64, "Middle Aged", C238&lt;=84,"Young Old", C238&gt;=85,"Oldest Old")</f>
        <v>Middle Aged</v>
      </c>
      <c r="E238" t="s">
        <v>18</v>
      </c>
      <c r="F238" s="4">
        <v>45578</v>
      </c>
      <c r="G238" s="4">
        <v>45582</v>
      </c>
      <c r="H238" s="7">
        <f t="shared" si="9"/>
        <v>4</v>
      </c>
      <c r="I238" t="s">
        <v>60</v>
      </c>
      <c r="J238" t="s">
        <v>77</v>
      </c>
      <c r="K238" s="2">
        <v>9234.25</v>
      </c>
      <c r="L238" s="9">
        <v>0.7</v>
      </c>
      <c r="M238" s="15">
        <f t="shared" si="10"/>
        <v>6463.9749999999995</v>
      </c>
      <c r="N238" s="15">
        <f t="shared" si="11"/>
        <v>2770.2750000000005</v>
      </c>
      <c r="O238" t="s">
        <v>20</v>
      </c>
    </row>
    <row r="239" spans="1:15" hidden="1" x14ac:dyDescent="0.35">
      <c r="A239" t="s">
        <v>511</v>
      </c>
      <c r="B239" t="s">
        <v>512</v>
      </c>
      <c r="C239">
        <v>83</v>
      </c>
      <c r="D239" s="8" t="str" cm="1">
        <f t="array" ref="D239">_xlfn.IFS(C239&lt;=2, "Infant", C239&lt;=11, "Child", C239&lt;=17, "Adolescent", C239&lt;=44, "Young Adult", C239&lt;=64, "Middle Aged", C239&lt;=84,"Young Old", C239&gt;=85,"Oldest Old")</f>
        <v>Young Old</v>
      </c>
      <c r="E239" t="s">
        <v>12</v>
      </c>
      <c r="F239" s="4">
        <v>45467</v>
      </c>
      <c r="G239" s="4">
        <v>45472</v>
      </c>
      <c r="H239" s="7">
        <f t="shared" si="9"/>
        <v>5</v>
      </c>
      <c r="I239" t="s">
        <v>13</v>
      </c>
      <c r="J239" t="s">
        <v>111</v>
      </c>
      <c r="K239" s="2">
        <v>7388.36</v>
      </c>
      <c r="L239" s="9">
        <v>0.9</v>
      </c>
      <c r="M239" s="15">
        <f t="shared" si="10"/>
        <v>6649.5239999999994</v>
      </c>
      <c r="N239" s="15">
        <f t="shared" si="11"/>
        <v>738.83600000000024</v>
      </c>
      <c r="O239" t="s">
        <v>15</v>
      </c>
    </row>
    <row r="240" spans="1:15" hidden="1" x14ac:dyDescent="0.35">
      <c r="A240" t="s">
        <v>513</v>
      </c>
      <c r="B240" t="s">
        <v>514</v>
      </c>
      <c r="C240">
        <v>17</v>
      </c>
      <c r="D240" s="8" t="str" cm="1">
        <f t="array" ref="D240">_xlfn.IFS(C240&lt;=2, "Infant", C240&lt;=11, "Child", C240&lt;=17, "Adolescent", C240&lt;=44, "Young Adult", C240&lt;=64, "Middle Aged", C240&lt;=84,"Young Old", C240&gt;=85,"Oldest Old")</f>
        <v>Adolescent</v>
      </c>
      <c r="E240" t="s">
        <v>18</v>
      </c>
      <c r="F240" s="4">
        <v>45465</v>
      </c>
      <c r="G240" s="4">
        <v>45468</v>
      </c>
      <c r="H240" s="7">
        <f t="shared" si="9"/>
        <v>3</v>
      </c>
      <c r="I240" t="s">
        <v>49</v>
      </c>
      <c r="J240" t="s">
        <v>123</v>
      </c>
      <c r="K240" s="2">
        <v>2080.9499999999998</v>
      </c>
      <c r="L240" s="9">
        <v>1</v>
      </c>
      <c r="M240" s="15">
        <f t="shared" si="10"/>
        <v>2080.9499999999998</v>
      </c>
      <c r="N240" s="15">
        <f t="shared" si="11"/>
        <v>0</v>
      </c>
      <c r="O240" t="s">
        <v>25</v>
      </c>
    </row>
    <row r="241" spans="1:15" hidden="1" x14ac:dyDescent="0.35">
      <c r="A241" t="s">
        <v>515</v>
      </c>
      <c r="B241" t="s">
        <v>516</v>
      </c>
      <c r="C241">
        <v>70</v>
      </c>
      <c r="D241" s="8" t="str" cm="1">
        <f t="array" ref="D241">_xlfn.IFS(C241&lt;=2, "Infant", C241&lt;=11, "Child", C241&lt;=17, "Adolescent", C241&lt;=44, "Young Adult", C241&lt;=64, "Middle Aged", C241&lt;=84,"Young Old", C241&gt;=85,"Oldest Old")</f>
        <v>Young Old</v>
      </c>
      <c r="E241" t="s">
        <v>12</v>
      </c>
      <c r="F241" s="4">
        <v>45301</v>
      </c>
      <c r="G241" s="4">
        <v>45303</v>
      </c>
      <c r="H241" s="7">
        <f t="shared" si="9"/>
        <v>2</v>
      </c>
      <c r="I241" t="s">
        <v>60</v>
      </c>
      <c r="J241" t="s">
        <v>133</v>
      </c>
      <c r="K241" s="2">
        <v>5457.97</v>
      </c>
      <c r="L241" s="9">
        <v>0.8</v>
      </c>
      <c r="M241" s="15">
        <f t="shared" si="10"/>
        <v>4366.3760000000002</v>
      </c>
      <c r="N241" s="15">
        <f t="shared" si="11"/>
        <v>1091.5940000000001</v>
      </c>
      <c r="O241" t="s">
        <v>15</v>
      </c>
    </row>
    <row r="242" spans="1:15" hidden="1" x14ac:dyDescent="0.35">
      <c r="A242" t="s">
        <v>517</v>
      </c>
      <c r="B242" t="s">
        <v>27</v>
      </c>
      <c r="C242">
        <v>42</v>
      </c>
      <c r="D242" s="8" t="str" cm="1">
        <f t="array" ref="D242">_xlfn.IFS(C242&lt;=2, "Infant", C242&lt;=11, "Child", C242&lt;=17, "Adolescent", C242&lt;=44, "Young Adult", C242&lt;=64, "Middle Aged", C242&lt;=84,"Young Old", C242&gt;=85,"Oldest Old")</f>
        <v>Young Adult</v>
      </c>
      <c r="E242" t="s">
        <v>18</v>
      </c>
      <c r="F242" s="4">
        <v>45522</v>
      </c>
      <c r="G242" s="4">
        <v>45534</v>
      </c>
      <c r="H242" s="7">
        <f t="shared" si="9"/>
        <v>12</v>
      </c>
      <c r="I242" t="s">
        <v>60</v>
      </c>
      <c r="J242" t="s">
        <v>74</v>
      </c>
      <c r="K242" s="2">
        <v>15047.59</v>
      </c>
      <c r="L242" s="9">
        <v>0.8</v>
      </c>
      <c r="M242" s="15">
        <f t="shared" si="10"/>
        <v>12038.072</v>
      </c>
      <c r="N242" s="15">
        <f t="shared" si="11"/>
        <v>3009.518</v>
      </c>
      <c r="O242" t="s">
        <v>15</v>
      </c>
    </row>
    <row r="243" spans="1:15" hidden="1" x14ac:dyDescent="0.35">
      <c r="A243" t="s">
        <v>518</v>
      </c>
      <c r="B243" t="s">
        <v>519</v>
      </c>
      <c r="C243">
        <v>16</v>
      </c>
      <c r="D243" s="8" t="str" cm="1">
        <f t="array" ref="D243">_xlfn.IFS(C243&lt;=2, "Infant", C243&lt;=11, "Child", C243&lt;=17, "Adolescent", C243&lt;=44, "Young Adult", C243&lt;=64, "Middle Aged", C243&lt;=84,"Young Old", C243&gt;=85,"Oldest Old")</f>
        <v>Adolescent</v>
      </c>
      <c r="E243" t="s">
        <v>18</v>
      </c>
      <c r="F243" s="4">
        <v>45630</v>
      </c>
      <c r="G243" s="4">
        <v>45632</v>
      </c>
      <c r="H243" s="7">
        <f t="shared" si="9"/>
        <v>2</v>
      </c>
      <c r="I243" t="s">
        <v>49</v>
      </c>
      <c r="J243" t="s">
        <v>378</v>
      </c>
      <c r="K243" s="2">
        <v>2737.97</v>
      </c>
      <c r="L243" s="9">
        <v>0.9</v>
      </c>
      <c r="M243" s="15">
        <f t="shared" si="10"/>
        <v>2464.1729999999998</v>
      </c>
      <c r="N243" s="15">
        <f t="shared" si="11"/>
        <v>273.79700000000003</v>
      </c>
      <c r="O243" t="s">
        <v>15</v>
      </c>
    </row>
    <row r="244" spans="1:15" hidden="1" x14ac:dyDescent="0.35">
      <c r="A244" t="s">
        <v>520</v>
      </c>
      <c r="B244" t="s">
        <v>482</v>
      </c>
      <c r="C244">
        <v>58</v>
      </c>
      <c r="D244" s="8" t="str" cm="1">
        <f t="array" ref="D244">_xlfn.IFS(C244&lt;=2, "Infant", C244&lt;=11, "Child", C244&lt;=17, "Adolescent", C244&lt;=44, "Young Adult", C244&lt;=64, "Middle Aged", C244&lt;=84,"Young Old", C244&gt;=85,"Oldest Old")</f>
        <v>Middle Aged</v>
      </c>
      <c r="E244" t="s">
        <v>12</v>
      </c>
      <c r="F244" s="4">
        <v>45650</v>
      </c>
      <c r="G244" s="4">
        <v>45664</v>
      </c>
      <c r="H244" s="7">
        <f t="shared" si="9"/>
        <v>14</v>
      </c>
      <c r="I244" t="s">
        <v>60</v>
      </c>
      <c r="J244" t="s">
        <v>74</v>
      </c>
      <c r="K244" s="2">
        <v>19026.97</v>
      </c>
      <c r="L244" s="9">
        <v>0.8</v>
      </c>
      <c r="M244" s="15">
        <f t="shared" si="10"/>
        <v>15221.576000000001</v>
      </c>
      <c r="N244" s="15">
        <f t="shared" si="11"/>
        <v>3805.3940000000002</v>
      </c>
      <c r="O244" t="s">
        <v>20</v>
      </c>
    </row>
    <row r="245" spans="1:15" hidden="1" x14ac:dyDescent="0.35">
      <c r="A245" t="s">
        <v>521</v>
      </c>
      <c r="B245" t="s">
        <v>196</v>
      </c>
      <c r="C245">
        <v>35</v>
      </c>
      <c r="D245" s="8" t="str" cm="1">
        <f t="array" ref="D245">_xlfn.IFS(C245&lt;=2, "Infant", C245&lt;=11, "Child", C245&lt;=17, "Adolescent", C245&lt;=44, "Young Adult", C245&lt;=64, "Middle Aged", C245&lt;=84,"Young Old", C245&gt;=85,"Oldest Old")</f>
        <v>Young Adult</v>
      </c>
      <c r="E245" t="s">
        <v>12</v>
      </c>
      <c r="F245" s="4">
        <v>45323</v>
      </c>
      <c r="G245" s="4">
        <v>45326</v>
      </c>
      <c r="H245" s="7">
        <f t="shared" si="9"/>
        <v>3</v>
      </c>
      <c r="I245" t="s">
        <v>23</v>
      </c>
      <c r="J245" t="s">
        <v>204</v>
      </c>
      <c r="K245" s="2">
        <v>4955.5</v>
      </c>
      <c r="L245" s="9">
        <v>0.9</v>
      </c>
      <c r="M245" s="15">
        <f t="shared" si="10"/>
        <v>4459.95</v>
      </c>
      <c r="N245" s="15">
        <f t="shared" si="11"/>
        <v>495.55000000000018</v>
      </c>
      <c r="O245" t="s">
        <v>20</v>
      </c>
    </row>
    <row r="246" spans="1:15" hidden="1" x14ac:dyDescent="0.35">
      <c r="A246" t="s">
        <v>522</v>
      </c>
      <c r="B246" t="s">
        <v>523</v>
      </c>
      <c r="C246">
        <v>58</v>
      </c>
      <c r="D246" s="8" t="str" cm="1">
        <f t="array" ref="D246">_xlfn.IFS(C246&lt;=2, "Infant", C246&lt;=11, "Child", C246&lt;=17, "Adolescent", C246&lt;=44, "Young Adult", C246&lt;=64, "Middle Aged", C246&lt;=84,"Young Old", C246&gt;=85,"Oldest Old")</f>
        <v>Middle Aged</v>
      </c>
      <c r="E246" t="s">
        <v>18</v>
      </c>
      <c r="F246" s="4">
        <v>45757</v>
      </c>
      <c r="G246" s="4">
        <v>45759</v>
      </c>
      <c r="H246" s="7">
        <f t="shared" si="9"/>
        <v>2</v>
      </c>
      <c r="I246" t="s">
        <v>23</v>
      </c>
      <c r="J246" t="s">
        <v>333</v>
      </c>
      <c r="K246" s="2">
        <v>4048.56</v>
      </c>
      <c r="L246" s="9">
        <v>0.8</v>
      </c>
      <c r="M246" s="15">
        <f t="shared" si="10"/>
        <v>3238.848</v>
      </c>
      <c r="N246" s="15">
        <f t="shared" si="11"/>
        <v>809.71199999999999</v>
      </c>
      <c r="O246" t="s">
        <v>20</v>
      </c>
    </row>
    <row r="247" spans="1:15" hidden="1" x14ac:dyDescent="0.35">
      <c r="A247" t="s">
        <v>524</v>
      </c>
      <c r="B247" t="s">
        <v>525</v>
      </c>
      <c r="C247">
        <v>47</v>
      </c>
      <c r="D247" s="8" t="str" cm="1">
        <f t="array" ref="D247">_xlfn.IFS(C247&lt;=2, "Infant", C247&lt;=11, "Child", C247&lt;=17, "Adolescent", C247&lt;=44, "Young Adult", C247&lt;=64, "Middle Aged", C247&lt;=84,"Young Old", C247&gt;=85,"Oldest Old")</f>
        <v>Middle Aged</v>
      </c>
      <c r="E247" t="s">
        <v>12</v>
      </c>
      <c r="F247" s="4">
        <v>45995</v>
      </c>
      <c r="G247" s="4">
        <v>46001</v>
      </c>
      <c r="H247" s="7">
        <f t="shared" si="9"/>
        <v>6</v>
      </c>
      <c r="I247" t="s">
        <v>31</v>
      </c>
      <c r="J247" t="s">
        <v>234</v>
      </c>
      <c r="K247" s="2">
        <v>6918.6</v>
      </c>
      <c r="L247" s="9">
        <v>0.8</v>
      </c>
      <c r="M247" s="15">
        <f t="shared" si="10"/>
        <v>5534.880000000001</v>
      </c>
      <c r="N247" s="15">
        <f t="shared" si="11"/>
        <v>1383.7199999999993</v>
      </c>
      <c r="O247" t="s">
        <v>15</v>
      </c>
    </row>
    <row r="248" spans="1:15" hidden="1" x14ac:dyDescent="0.35">
      <c r="A248" t="s">
        <v>526</v>
      </c>
      <c r="B248" t="s">
        <v>527</v>
      </c>
      <c r="C248">
        <v>8</v>
      </c>
      <c r="D248" s="8" t="str" cm="1">
        <f t="array" ref="D248">_xlfn.IFS(C248&lt;=2, "Infant", C248&lt;=11, "Child", C248&lt;=17, "Adolescent", C248&lt;=44, "Young Adult", C248&lt;=64, "Middle Aged", C248&lt;=84,"Young Old", C248&gt;=85,"Oldest Old")</f>
        <v>Child</v>
      </c>
      <c r="E248" t="s">
        <v>18</v>
      </c>
      <c r="F248" s="4">
        <v>45650</v>
      </c>
      <c r="G248" s="4">
        <v>45653</v>
      </c>
      <c r="H248" s="7">
        <f t="shared" si="9"/>
        <v>3</v>
      </c>
      <c r="I248" t="s">
        <v>49</v>
      </c>
      <c r="J248" t="s">
        <v>120</v>
      </c>
      <c r="K248" s="2">
        <v>3846.88</v>
      </c>
      <c r="L248" s="9">
        <v>0.8</v>
      </c>
      <c r="M248" s="15">
        <f t="shared" si="10"/>
        <v>3077.5040000000004</v>
      </c>
      <c r="N248" s="15">
        <f t="shared" si="11"/>
        <v>769.37599999999975</v>
      </c>
      <c r="O248" t="s">
        <v>15</v>
      </c>
    </row>
    <row r="249" spans="1:15" hidden="1" x14ac:dyDescent="0.35">
      <c r="A249" t="s">
        <v>528</v>
      </c>
      <c r="B249" t="s">
        <v>529</v>
      </c>
      <c r="C249">
        <v>65</v>
      </c>
      <c r="D249" s="8" t="str" cm="1">
        <f t="array" ref="D249">_xlfn.IFS(C249&lt;=2, "Infant", C249&lt;=11, "Child", C249&lt;=17, "Adolescent", C249&lt;=44, "Young Adult", C249&lt;=64, "Middle Aged", C249&lt;=84,"Young Old", C249&gt;=85,"Oldest Old")</f>
        <v>Young Old</v>
      </c>
      <c r="E249" t="s">
        <v>18</v>
      </c>
      <c r="F249" s="4">
        <v>45776</v>
      </c>
      <c r="G249" s="4">
        <v>45780</v>
      </c>
      <c r="H249" s="7">
        <f t="shared" si="9"/>
        <v>4</v>
      </c>
      <c r="I249" t="s">
        <v>31</v>
      </c>
      <c r="J249" t="s">
        <v>114</v>
      </c>
      <c r="K249" s="2">
        <v>3019.93</v>
      </c>
      <c r="L249" s="9">
        <v>0.7</v>
      </c>
      <c r="M249" s="15">
        <f t="shared" si="10"/>
        <v>2113.9509999999996</v>
      </c>
      <c r="N249" s="15">
        <f t="shared" si="11"/>
        <v>905.97900000000027</v>
      </c>
      <c r="O249" t="s">
        <v>25</v>
      </c>
    </row>
    <row r="250" spans="1:15" hidden="1" x14ac:dyDescent="0.35">
      <c r="A250" t="s">
        <v>530</v>
      </c>
      <c r="B250" t="s">
        <v>531</v>
      </c>
      <c r="C250">
        <v>4</v>
      </c>
      <c r="D250" s="8" t="str" cm="1">
        <f t="array" ref="D250">_xlfn.IFS(C250&lt;=2, "Infant", C250&lt;=11, "Child", C250&lt;=17, "Adolescent", C250&lt;=44, "Young Adult", C250&lt;=64, "Middle Aged", C250&lt;=84,"Young Old", C250&gt;=85,"Oldest Old")</f>
        <v>Child</v>
      </c>
      <c r="E250" t="s">
        <v>12</v>
      </c>
      <c r="F250" s="4">
        <v>45624</v>
      </c>
      <c r="G250" s="4">
        <v>45628</v>
      </c>
      <c r="H250" s="7">
        <f t="shared" si="9"/>
        <v>4</v>
      </c>
      <c r="I250" t="s">
        <v>49</v>
      </c>
      <c r="J250" t="s">
        <v>130</v>
      </c>
      <c r="K250" s="2">
        <v>3543.7</v>
      </c>
      <c r="L250" s="9">
        <v>0.9</v>
      </c>
      <c r="M250" s="15">
        <f t="shared" si="10"/>
        <v>3189.33</v>
      </c>
      <c r="N250" s="15">
        <f t="shared" si="11"/>
        <v>354.36999999999989</v>
      </c>
      <c r="O250" t="s">
        <v>20</v>
      </c>
    </row>
    <row r="251" spans="1:15" hidden="1" x14ac:dyDescent="0.35">
      <c r="A251" t="s">
        <v>532</v>
      </c>
      <c r="B251" t="s">
        <v>312</v>
      </c>
      <c r="C251">
        <v>55</v>
      </c>
      <c r="D251" s="8" t="str" cm="1">
        <f t="array" ref="D251">_xlfn.IFS(C251&lt;=2, "Infant", C251&lt;=11, "Child", C251&lt;=17, "Adolescent", C251&lt;=44, "Young Adult", C251&lt;=64, "Middle Aged", C251&lt;=84,"Young Old", C251&gt;=85,"Oldest Old")</f>
        <v>Middle Aged</v>
      </c>
      <c r="E251" t="s">
        <v>12</v>
      </c>
      <c r="F251" s="4">
        <v>45852</v>
      </c>
      <c r="G251" s="4">
        <v>45854</v>
      </c>
      <c r="H251" s="7">
        <f t="shared" si="9"/>
        <v>2</v>
      </c>
      <c r="I251" t="s">
        <v>60</v>
      </c>
      <c r="J251" t="s">
        <v>142</v>
      </c>
      <c r="K251" s="2">
        <v>2354.4899999999998</v>
      </c>
      <c r="L251" s="9">
        <v>0.6</v>
      </c>
      <c r="M251" s="15">
        <f t="shared" si="10"/>
        <v>1412.6939999999997</v>
      </c>
      <c r="N251" s="15">
        <f t="shared" si="11"/>
        <v>941.79600000000005</v>
      </c>
      <c r="O251" t="s">
        <v>25</v>
      </c>
    </row>
    <row r="252" spans="1:15" hidden="1" x14ac:dyDescent="0.35">
      <c r="A252" t="s">
        <v>533</v>
      </c>
      <c r="B252" t="s">
        <v>514</v>
      </c>
      <c r="C252">
        <v>47</v>
      </c>
      <c r="D252" s="8" t="str" cm="1">
        <f t="array" ref="D252">_xlfn.IFS(C252&lt;=2, "Infant", C252&lt;=11, "Child", C252&lt;=17, "Adolescent", C252&lt;=44, "Young Adult", C252&lt;=64, "Middle Aged", C252&lt;=84,"Young Old", C252&gt;=85,"Oldest Old")</f>
        <v>Middle Aged</v>
      </c>
      <c r="E252" t="s">
        <v>18</v>
      </c>
      <c r="F252" s="4">
        <v>45916</v>
      </c>
      <c r="G252" s="4">
        <v>45919</v>
      </c>
      <c r="H252" s="7">
        <f t="shared" si="9"/>
        <v>3</v>
      </c>
      <c r="I252" t="s">
        <v>23</v>
      </c>
      <c r="J252" t="s">
        <v>24</v>
      </c>
      <c r="K252" s="2">
        <v>4854.92</v>
      </c>
      <c r="L252" s="9">
        <v>0.7</v>
      </c>
      <c r="M252" s="15">
        <f t="shared" si="10"/>
        <v>3398.444</v>
      </c>
      <c r="N252" s="15">
        <f t="shared" si="11"/>
        <v>1456.4760000000001</v>
      </c>
      <c r="O252" t="s">
        <v>25</v>
      </c>
    </row>
    <row r="253" spans="1:15" hidden="1" x14ac:dyDescent="0.35">
      <c r="A253" t="s">
        <v>534</v>
      </c>
      <c r="B253" t="s">
        <v>272</v>
      </c>
      <c r="C253">
        <v>7</v>
      </c>
      <c r="D253" s="8" t="str" cm="1">
        <f t="array" ref="D253">_xlfn.IFS(C253&lt;=2, "Infant", C253&lt;=11, "Child", C253&lt;=17, "Adolescent", C253&lt;=44, "Young Adult", C253&lt;=64, "Middle Aged", C253&lt;=84,"Young Old", C253&gt;=85,"Oldest Old")</f>
        <v>Child</v>
      </c>
      <c r="E253" t="s">
        <v>18</v>
      </c>
      <c r="F253" s="4">
        <v>45478</v>
      </c>
      <c r="G253" s="4">
        <v>45480</v>
      </c>
      <c r="H253" s="7">
        <f t="shared" si="9"/>
        <v>2</v>
      </c>
      <c r="I253" t="s">
        <v>49</v>
      </c>
      <c r="J253" t="s">
        <v>378</v>
      </c>
      <c r="K253" s="2">
        <v>2341.4499999999998</v>
      </c>
      <c r="L253" s="9">
        <v>0.9</v>
      </c>
      <c r="M253" s="15">
        <f t="shared" si="10"/>
        <v>2107.3049999999998</v>
      </c>
      <c r="N253" s="15">
        <f t="shared" si="11"/>
        <v>234.14499999999998</v>
      </c>
      <c r="O253" t="s">
        <v>20</v>
      </c>
    </row>
    <row r="254" spans="1:15" hidden="1" x14ac:dyDescent="0.35">
      <c r="A254" t="s">
        <v>535</v>
      </c>
      <c r="B254" t="s">
        <v>536</v>
      </c>
      <c r="C254">
        <v>8</v>
      </c>
      <c r="D254" s="8" t="str" cm="1">
        <f t="array" ref="D254">_xlfn.IFS(C254&lt;=2, "Infant", C254&lt;=11, "Child", C254&lt;=17, "Adolescent", C254&lt;=44, "Young Adult", C254&lt;=64, "Middle Aged", C254&lt;=84,"Young Old", C254&gt;=85,"Oldest Old")</f>
        <v>Child</v>
      </c>
      <c r="E254" t="s">
        <v>12</v>
      </c>
      <c r="F254" s="4">
        <v>45601</v>
      </c>
      <c r="G254" s="4">
        <v>45606</v>
      </c>
      <c r="H254" s="7">
        <f t="shared" si="9"/>
        <v>5</v>
      </c>
      <c r="I254" t="s">
        <v>49</v>
      </c>
      <c r="J254" t="s">
        <v>123</v>
      </c>
      <c r="K254" s="2">
        <v>6634.75</v>
      </c>
      <c r="L254" s="9">
        <v>1</v>
      </c>
      <c r="M254" s="15">
        <f t="shared" si="10"/>
        <v>6634.75</v>
      </c>
      <c r="N254" s="15">
        <f t="shared" si="11"/>
        <v>0</v>
      </c>
      <c r="O254" t="s">
        <v>20</v>
      </c>
    </row>
    <row r="255" spans="1:15" hidden="1" x14ac:dyDescent="0.35">
      <c r="A255" t="s">
        <v>537</v>
      </c>
      <c r="B255" t="s">
        <v>538</v>
      </c>
      <c r="C255">
        <v>11</v>
      </c>
      <c r="D255" s="8" t="str" cm="1">
        <f t="array" ref="D255">_xlfn.IFS(C255&lt;=2, "Infant", C255&lt;=11, "Child", C255&lt;=17, "Adolescent", C255&lt;=44, "Young Adult", C255&lt;=64, "Middle Aged", C255&lt;=84,"Young Old", C255&gt;=85,"Oldest Old")</f>
        <v>Child</v>
      </c>
      <c r="E255" t="s">
        <v>18</v>
      </c>
      <c r="F255" s="4">
        <v>45770</v>
      </c>
      <c r="G255" s="4">
        <v>45773</v>
      </c>
      <c r="H255" s="7">
        <f t="shared" si="9"/>
        <v>3</v>
      </c>
      <c r="I255" t="s">
        <v>49</v>
      </c>
      <c r="J255" t="s">
        <v>120</v>
      </c>
      <c r="K255" s="2">
        <v>2307.54</v>
      </c>
      <c r="L255" s="9">
        <v>0.7</v>
      </c>
      <c r="M255" s="15">
        <f t="shared" si="10"/>
        <v>1615.2779999999998</v>
      </c>
      <c r="N255" s="15">
        <f t="shared" si="11"/>
        <v>692.26200000000017</v>
      </c>
      <c r="O255" t="s">
        <v>20</v>
      </c>
    </row>
    <row r="256" spans="1:15" hidden="1" x14ac:dyDescent="0.35">
      <c r="A256" t="s">
        <v>539</v>
      </c>
      <c r="B256" t="s">
        <v>540</v>
      </c>
      <c r="C256">
        <v>29</v>
      </c>
      <c r="D256" s="8" t="str" cm="1">
        <f t="array" ref="D256">_xlfn.IFS(C256&lt;=2, "Infant", C256&lt;=11, "Child", C256&lt;=17, "Adolescent", C256&lt;=44, "Young Adult", C256&lt;=64, "Middle Aged", C256&lt;=84,"Young Old", C256&gt;=85,"Oldest Old")</f>
        <v>Young Adult</v>
      </c>
      <c r="E256" t="s">
        <v>12</v>
      </c>
      <c r="F256" s="4">
        <v>45963</v>
      </c>
      <c r="G256" s="4">
        <v>45968</v>
      </c>
      <c r="H256" s="7">
        <f t="shared" si="9"/>
        <v>5</v>
      </c>
      <c r="I256" t="s">
        <v>31</v>
      </c>
      <c r="J256" t="s">
        <v>53</v>
      </c>
      <c r="K256" s="2">
        <v>6481.41</v>
      </c>
      <c r="L256" s="9">
        <v>0.6</v>
      </c>
      <c r="M256" s="15">
        <f t="shared" si="10"/>
        <v>3888.8459999999995</v>
      </c>
      <c r="N256" s="15">
        <f t="shared" si="11"/>
        <v>2592.5640000000003</v>
      </c>
      <c r="O256" t="s">
        <v>25</v>
      </c>
    </row>
    <row r="257" spans="1:15" hidden="1" x14ac:dyDescent="0.35">
      <c r="A257" t="s">
        <v>541</v>
      </c>
      <c r="B257" t="s">
        <v>542</v>
      </c>
      <c r="C257">
        <v>43</v>
      </c>
      <c r="D257" s="8" t="str" cm="1">
        <f t="array" ref="D257">_xlfn.IFS(C257&lt;=2, "Infant", C257&lt;=11, "Child", C257&lt;=17, "Adolescent", C257&lt;=44, "Young Adult", C257&lt;=64, "Middle Aged", C257&lt;=84,"Young Old", C257&gt;=85,"Oldest Old")</f>
        <v>Young Adult</v>
      </c>
      <c r="E257" t="s">
        <v>12</v>
      </c>
      <c r="F257" s="4">
        <v>45296</v>
      </c>
      <c r="G257" s="4">
        <v>45305</v>
      </c>
      <c r="H257" s="7">
        <f t="shared" si="9"/>
        <v>9</v>
      </c>
      <c r="I257" t="s">
        <v>13</v>
      </c>
      <c r="J257" t="s">
        <v>38</v>
      </c>
      <c r="K257" s="2">
        <v>14839.54</v>
      </c>
      <c r="L257" s="9">
        <v>0.7</v>
      </c>
      <c r="M257" s="15">
        <f t="shared" si="10"/>
        <v>10387.678</v>
      </c>
      <c r="N257" s="15">
        <f t="shared" si="11"/>
        <v>4451.862000000001</v>
      </c>
      <c r="O257" t="s">
        <v>25</v>
      </c>
    </row>
    <row r="258" spans="1:15" hidden="1" x14ac:dyDescent="0.35">
      <c r="A258" t="s">
        <v>543</v>
      </c>
      <c r="B258" t="s">
        <v>544</v>
      </c>
      <c r="C258">
        <v>31</v>
      </c>
      <c r="D258" s="8" t="str" cm="1">
        <f t="array" ref="D258">_xlfn.IFS(C258&lt;=2, "Infant", C258&lt;=11, "Child", C258&lt;=17, "Adolescent", C258&lt;=44, "Young Adult", C258&lt;=64, "Middle Aged", C258&lt;=84,"Young Old", C258&gt;=85,"Oldest Old")</f>
        <v>Young Adult</v>
      </c>
      <c r="E258" t="s">
        <v>18</v>
      </c>
      <c r="F258" s="4">
        <v>45982</v>
      </c>
      <c r="G258" s="4">
        <v>45987</v>
      </c>
      <c r="H258" s="7">
        <f t="shared" si="9"/>
        <v>5</v>
      </c>
      <c r="I258" t="s">
        <v>70</v>
      </c>
      <c r="J258" t="s">
        <v>94</v>
      </c>
      <c r="K258" s="2">
        <v>8724.32</v>
      </c>
      <c r="L258" s="9">
        <v>0.8</v>
      </c>
      <c r="M258" s="15">
        <f t="shared" si="10"/>
        <v>6979.4560000000001</v>
      </c>
      <c r="N258" s="15">
        <f t="shared" si="11"/>
        <v>1744.8639999999996</v>
      </c>
      <c r="O258" t="s">
        <v>20</v>
      </c>
    </row>
    <row r="259" spans="1:15" x14ac:dyDescent="0.35">
      <c r="A259" t="s">
        <v>545</v>
      </c>
      <c r="B259" t="s">
        <v>546</v>
      </c>
      <c r="C259">
        <v>74</v>
      </c>
      <c r="D259" s="8" t="str" cm="1">
        <f t="array" ref="D259">_xlfn.IFS(C259&lt;=2, "Infant", C259&lt;=11, "Child", C259&lt;=17, "Adolescent", C259&lt;=44, "Young Adult", C259&lt;=64, "Middle Aged", C259&lt;=84,"Young Old", C259&gt;=85,"Oldest Old")</f>
        <v>Young Old</v>
      </c>
      <c r="E259" t="s">
        <v>18</v>
      </c>
      <c r="F259" s="4">
        <v>45764</v>
      </c>
      <c r="G259" s="4">
        <v>45770</v>
      </c>
      <c r="H259" s="7">
        <f t="shared" ref="H259:H322" si="12">DATEDIF(F259,G259,"D")</f>
        <v>6</v>
      </c>
      <c r="I259" t="s">
        <v>31</v>
      </c>
      <c r="J259" t="s">
        <v>32</v>
      </c>
      <c r="K259" s="2">
        <v>8724.0499999999993</v>
      </c>
      <c r="L259" s="9">
        <v>0.5</v>
      </c>
      <c r="M259" s="15">
        <f t="shared" ref="M259:M322" si="13">L259*K259</f>
        <v>4362.0249999999996</v>
      </c>
      <c r="N259" s="15">
        <f t="shared" ref="N259:N322" si="14">K259-M259</f>
        <v>4362.0249999999996</v>
      </c>
      <c r="O259" t="s">
        <v>20</v>
      </c>
    </row>
    <row r="260" spans="1:15" hidden="1" x14ac:dyDescent="0.35">
      <c r="A260" t="s">
        <v>547</v>
      </c>
      <c r="B260" t="s">
        <v>548</v>
      </c>
      <c r="C260">
        <v>60</v>
      </c>
      <c r="D260" s="8" t="str" cm="1">
        <f t="array" ref="D260">_xlfn.IFS(C260&lt;=2, "Infant", C260&lt;=11, "Child", C260&lt;=17, "Adolescent", C260&lt;=44, "Young Adult", C260&lt;=64, "Middle Aged", C260&lt;=84,"Young Old", C260&gt;=85,"Oldest Old")</f>
        <v>Middle Aged</v>
      </c>
      <c r="E260" t="s">
        <v>18</v>
      </c>
      <c r="F260" s="4">
        <v>45711</v>
      </c>
      <c r="G260" s="4">
        <v>45718</v>
      </c>
      <c r="H260" s="7">
        <f t="shared" si="12"/>
        <v>7</v>
      </c>
      <c r="I260" t="s">
        <v>13</v>
      </c>
      <c r="J260" t="s">
        <v>165</v>
      </c>
      <c r="K260" s="2">
        <v>12277.2</v>
      </c>
      <c r="L260" s="9">
        <v>1</v>
      </c>
      <c r="M260" s="15">
        <f t="shared" si="13"/>
        <v>12277.2</v>
      </c>
      <c r="N260" s="15">
        <f t="shared" si="14"/>
        <v>0</v>
      </c>
      <c r="O260" t="s">
        <v>15</v>
      </c>
    </row>
    <row r="261" spans="1:15" hidden="1" x14ac:dyDescent="0.35">
      <c r="A261" t="s">
        <v>549</v>
      </c>
      <c r="B261" t="s">
        <v>550</v>
      </c>
      <c r="C261">
        <v>82</v>
      </c>
      <c r="D261" s="8" t="str" cm="1">
        <f t="array" ref="D261">_xlfn.IFS(C261&lt;=2, "Infant", C261&lt;=11, "Child", C261&lt;=17, "Adolescent", C261&lt;=44, "Young Adult", C261&lt;=64, "Middle Aged", C261&lt;=84,"Young Old", C261&gt;=85,"Oldest Old")</f>
        <v>Young Old</v>
      </c>
      <c r="E261" t="s">
        <v>18</v>
      </c>
      <c r="F261" s="4">
        <v>45465</v>
      </c>
      <c r="G261" s="4">
        <v>45468</v>
      </c>
      <c r="H261" s="7">
        <f t="shared" si="12"/>
        <v>3</v>
      </c>
      <c r="I261" t="s">
        <v>23</v>
      </c>
      <c r="J261" t="s">
        <v>24</v>
      </c>
      <c r="K261" s="2">
        <v>7304.79</v>
      </c>
      <c r="L261" s="9">
        <v>0.9</v>
      </c>
      <c r="M261" s="15">
        <f t="shared" si="13"/>
        <v>6574.3109999999997</v>
      </c>
      <c r="N261" s="15">
        <f t="shared" si="14"/>
        <v>730.47900000000027</v>
      </c>
      <c r="O261" t="s">
        <v>15</v>
      </c>
    </row>
    <row r="262" spans="1:15" hidden="1" x14ac:dyDescent="0.35">
      <c r="A262" t="s">
        <v>551</v>
      </c>
      <c r="B262" t="s">
        <v>127</v>
      </c>
      <c r="C262">
        <v>44</v>
      </c>
      <c r="D262" s="8" t="str" cm="1">
        <f t="array" ref="D262">_xlfn.IFS(C262&lt;=2, "Infant", C262&lt;=11, "Child", C262&lt;=17, "Adolescent", C262&lt;=44, "Young Adult", C262&lt;=64, "Middle Aged", C262&lt;=84,"Young Old", C262&gt;=85,"Oldest Old")</f>
        <v>Young Adult</v>
      </c>
      <c r="E262" t="s">
        <v>18</v>
      </c>
      <c r="F262" s="4">
        <v>45682</v>
      </c>
      <c r="G262" s="4">
        <v>45685</v>
      </c>
      <c r="H262" s="7">
        <f t="shared" si="12"/>
        <v>3</v>
      </c>
      <c r="I262" t="s">
        <v>23</v>
      </c>
      <c r="J262" t="s">
        <v>41</v>
      </c>
      <c r="K262" s="2">
        <v>4042.99</v>
      </c>
      <c r="L262" s="9">
        <v>1</v>
      </c>
      <c r="M262" s="15">
        <f t="shared" si="13"/>
        <v>4042.99</v>
      </c>
      <c r="N262" s="15">
        <f t="shared" si="14"/>
        <v>0</v>
      </c>
      <c r="O262" t="s">
        <v>25</v>
      </c>
    </row>
    <row r="263" spans="1:15" hidden="1" x14ac:dyDescent="0.35">
      <c r="A263" t="s">
        <v>552</v>
      </c>
      <c r="B263" t="s">
        <v>553</v>
      </c>
      <c r="C263">
        <v>25</v>
      </c>
      <c r="D263" s="8" t="str" cm="1">
        <f t="array" ref="D263">_xlfn.IFS(C263&lt;=2, "Infant", C263&lt;=11, "Child", C263&lt;=17, "Adolescent", C263&lt;=44, "Young Adult", C263&lt;=64, "Middle Aged", C263&lt;=84,"Young Old", C263&gt;=85,"Oldest Old")</f>
        <v>Young Adult</v>
      </c>
      <c r="E263" t="s">
        <v>12</v>
      </c>
      <c r="F263" s="4">
        <v>45406</v>
      </c>
      <c r="G263" s="4">
        <v>45409</v>
      </c>
      <c r="H263" s="7">
        <f t="shared" si="12"/>
        <v>3</v>
      </c>
      <c r="I263" t="s">
        <v>31</v>
      </c>
      <c r="J263" t="s">
        <v>87</v>
      </c>
      <c r="K263" s="2">
        <v>2452.73</v>
      </c>
      <c r="L263" s="9">
        <v>0</v>
      </c>
      <c r="M263" s="15">
        <f t="shared" si="13"/>
        <v>0</v>
      </c>
      <c r="N263" s="15">
        <f t="shared" si="14"/>
        <v>2452.73</v>
      </c>
      <c r="O263" t="s">
        <v>25</v>
      </c>
    </row>
    <row r="264" spans="1:15" hidden="1" x14ac:dyDescent="0.35">
      <c r="A264" t="s">
        <v>554</v>
      </c>
      <c r="B264" t="s">
        <v>555</v>
      </c>
      <c r="C264">
        <v>15</v>
      </c>
      <c r="D264" s="8" t="str" cm="1">
        <f t="array" ref="D264">_xlfn.IFS(C264&lt;=2, "Infant", C264&lt;=11, "Child", C264&lt;=17, "Adolescent", C264&lt;=44, "Young Adult", C264&lt;=64, "Middle Aged", C264&lt;=84,"Young Old", C264&gt;=85,"Oldest Old")</f>
        <v>Adolescent</v>
      </c>
      <c r="E264" t="s">
        <v>18</v>
      </c>
      <c r="F264" s="4">
        <v>46010</v>
      </c>
      <c r="G264" s="4">
        <v>46012</v>
      </c>
      <c r="H264" s="7">
        <f t="shared" si="12"/>
        <v>2</v>
      </c>
      <c r="I264" t="s">
        <v>49</v>
      </c>
      <c r="J264" t="s">
        <v>130</v>
      </c>
      <c r="K264" s="2">
        <v>1535.75</v>
      </c>
      <c r="L264" s="9">
        <v>0.9</v>
      </c>
      <c r="M264" s="15">
        <f t="shared" si="13"/>
        <v>1382.175</v>
      </c>
      <c r="N264" s="15">
        <f t="shared" si="14"/>
        <v>153.57500000000005</v>
      </c>
      <c r="O264" t="s">
        <v>15</v>
      </c>
    </row>
    <row r="265" spans="1:15" hidden="1" x14ac:dyDescent="0.35">
      <c r="A265" t="s">
        <v>556</v>
      </c>
      <c r="B265" t="s">
        <v>191</v>
      </c>
      <c r="C265">
        <v>39</v>
      </c>
      <c r="D265" s="8" t="str" cm="1">
        <f t="array" ref="D265">_xlfn.IFS(C265&lt;=2, "Infant", C265&lt;=11, "Child", C265&lt;=17, "Adolescent", C265&lt;=44, "Young Adult", C265&lt;=64, "Middle Aged", C265&lt;=84,"Young Old", C265&gt;=85,"Oldest Old")</f>
        <v>Young Adult</v>
      </c>
      <c r="E265" t="s">
        <v>18</v>
      </c>
      <c r="F265" s="4">
        <v>45591</v>
      </c>
      <c r="G265" s="4">
        <v>45592</v>
      </c>
      <c r="H265" s="7">
        <f t="shared" si="12"/>
        <v>1</v>
      </c>
      <c r="I265" t="s">
        <v>31</v>
      </c>
      <c r="J265" t="s">
        <v>114</v>
      </c>
      <c r="K265" s="2">
        <v>600.19000000000005</v>
      </c>
      <c r="L265" s="9">
        <v>1</v>
      </c>
      <c r="M265" s="15">
        <f t="shared" si="13"/>
        <v>600.19000000000005</v>
      </c>
      <c r="N265" s="15">
        <f t="shared" si="14"/>
        <v>0</v>
      </c>
      <c r="O265" t="s">
        <v>15</v>
      </c>
    </row>
    <row r="266" spans="1:15" hidden="1" x14ac:dyDescent="0.35">
      <c r="A266" t="s">
        <v>557</v>
      </c>
      <c r="B266" t="s">
        <v>558</v>
      </c>
      <c r="C266">
        <v>73</v>
      </c>
      <c r="D266" s="8" t="str" cm="1">
        <f t="array" ref="D266">_xlfn.IFS(C266&lt;=2, "Infant", C266&lt;=11, "Child", C266&lt;=17, "Adolescent", C266&lt;=44, "Young Adult", C266&lt;=64, "Middle Aged", C266&lt;=84,"Young Old", C266&gt;=85,"Oldest Old")</f>
        <v>Young Old</v>
      </c>
      <c r="E266" t="s">
        <v>18</v>
      </c>
      <c r="F266" s="4">
        <v>45531</v>
      </c>
      <c r="G266" s="4">
        <v>45533</v>
      </c>
      <c r="H266" s="7">
        <f t="shared" si="12"/>
        <v>2</v>
      </c>
      <c r="I266" t="s">
        <v>23</v>
      </c>
      <c r="J266" t="s">
        <v>82</v>
      </c>
      <c r="K266" s="2">
        <v>2662.2</v>
      </c>
      <c r="L266" s="9">
        <v>1</v>
      </c>
      <c r="M266" s="15">
        <f t="shared" si="13"/>
        <v>2662.2</v>
      </c>
      <c r="N266" s="15">
        <f t="shared" si="14"/>
        <v>0</v>
      </c>
      <c r="O266" t="s">
        <v>15</v>
      </c>
    </row>
    <row r="267" spans="1:15" hidden="1" x14ac:dyDescent="0.35">
      <c r="A267" t="s">
        <v>559</v>
      </c>
      <c r="B267" t="s">
        <v>560</v>
      </c>
      <c r="C267">
        <v>58</v>
      </c>
      <c r="D267" s="8" t="str" cm="1">
        <f t="array" ref="D267">_xlfn.IFS(C267&lt;=2, "Infant", C267&lt;=11, "Child", C267&lt;=17, "Adolescent", C267&lt;=44, "Young Adult", C267&lt;=64, "Middle Aged", C267&lt;=84,"Young Old", C267&gt;=85,"Oldest Old")</f>
        <v>Middle Aged</v>
      </c>
      <c r="E267" t="s">
        <v>12</v>
      </c>
      <c r="F267" s="4">
        <v>45770</v>
      </c>
      <c r="G267" s="4">
        <v>45773</v>
      </c>
      <c r="H267" s="7">
        <f t="shared" si="12"/>
        <v>3</v>
      </c>
      <c r="I267" t="s">
        <v>23</v>
      </c>
      <c r="J267" t="s">
        <v>24</v>
      </c>
      <c r="K267" s="2">
        <v>2947.4</v>
      </c>
      <c r="L267" s="9">
        <v>0.9</v>
      </c>
      <c r="M267" s="15">
        <f t="shared" si="13"/>
        <v>2652.6600000000003</v>
      </c>
      <c r="N267" s="15">
        <f t="shared" si="14"/>
        <v>294.73999999999978</v>
      </c>
      <c r="O267" t="s">
        <v>15</v>
      </c>
    </row>
    <row r="268" spans="1:15" hidden="1" x14ac:dyDescent="0.35">
      <c r="A268" t="s">
        <v>561</v>
      </c>
      <c r="B268" t="s">
        <v>562</v>
      </c>
      <c r="C268">
        <v>58</v>
      </c>
      <c r="D268" s="8" t="str" cm="1">
        <f t="array" ref="D268">_xlfn.IFS(C268&lt;=2, "Infant", C268&lt;=11, "Child", C268&lt;=17, "Adolescent", C268&lt;=44, "Young Adult", C268&lt;=64, "Middle Aged", C268&lt;=84,"Young Old", C268&gt;=85,"Oldest Old")</f>
        <v>Middle Aged</v>
      </c>
      <c r="E268" t="s">
        <v>12</v>
      </c>
      <c r="F268" s="4">
        <v>45815</v>
      </c>
      <c r="G268" s="4">
        <v>45818</v>
      </c>
      <c r="H268" s="7">
        <f t="shared" si="12"/>
        <v>3</v>
      </c>
      <c r="I268" t="s">
        <v>60</v>
      </c>
      <c r="J268" t="s">
        <v>133</v>
      </c>
      <c r="K268" s="2">
        <v>6487.43</v>
      </c>
      <c r="L268" s="9">
        <v>0.8</v>
      </c>
      <c r="M268" s="15">
        <f t="shared" si="13"/>
        <v>5189.9440000000004</v>
      </c>
      <c r="N268" s="15">
        <f t="shared" si="14"/>
        <v>1297.4859999999999</v>
      </c>
      <c r="O268" t="s">
        <v>15</v>
      </c>
    </row>
    <row r="269" spans="1:15" hidden="1" x14ac:dyDescent="0.35">
      <c r="A269" t="s">
        <v>563</v>
      </c>
      <c r="B269" t="s">
        <v>564</v>
      </c>
      <c r="C269">
        <v>78</v>
      </c>
      <c r="D269" s="8" t="str" cm="1">
        <f t="array" ref="D269">_xlfn.IFS(C269&lt;=2, "Infant", C269&lt;=11, "Child", C269&lt;=17, "Adolescent", C269&lt;=44, "Young Adult", C269&lt;=64, "Middle Aged", C269&lt;=84,"Young Old", C269&gt;=85,"Oldest Old")</f>
        <v>Young Old</v>
      </c>
      <c r="E269" t="s">
        <v>18</v>
      </c>
      <c r="F269" s="4">
        <v>45863</v>
      </c>
      <c r="G269" s="4">
        <v>45867</v>
      </c>
      <c r="H269" s="7">
        <f t="shared" si="12"/>
        <v>4</v>
      </c>
      <c r="I269" t="s">
        <v>13</v>
      </c>
      <c r="J269" t="s">
        <v>165</v>
      </c>
      <c r="K269" s="2">
        <v>5274.8</v>
      </c>
      <c r="L269" s="9">
        <v>0.8</v>
      </c>
      <c r="M269" s="15">
        <f t="shared" si="13"/>
        <v>4219.84</v>
      </c>
      <c r="N269" s="15">
        <f t="shared" si="14"/>
        <v>1054.96</v>
      </c>
      <c r="O269" t="s">
        <v>15</v>
      </c>
    </row>
    <row r="270" spans="1:15" hidden="1" x14ac:dyDescent="0.35">
      <c r="A270" t="s">
        <v>565</v>
      </c>
      <c r="B270" t="s">
        <v>566</v>
      </c>
      <c r="C270">
        <v>56</v>
      </c>
      <c r="D270" s="8" t="str" cm="1">
        <f t="array" ref="D270">_xlfn.IFS(C270&lt;=2, "Infant", C270&lt;=11, "Child", C270&lt;=17, "Adolescent", C270&lt;=44, "Young Adult", C270&lt;=64, "Middle Aged", C270&lt;=84,"Young Old", C270&gt;=85,"Oldest Old")</f>
        <v>Middle Aged</v>
      </c>
      <c r="E270" t="s">
        <v>12</v>
      </c>
      <c r="F270" s="4">
        <v>45919</v>
      </c>
      <c r="G270" s="4">
        <v>45925</v>
      </c>
      <c r="H270" s="7">
        <f t="shared" si="12"/>
        <v>6</v>
      </c>
      <c r="I270" t="s">
        <v>13</v>
      </c>
      <c r="J270" t="s">
        <v>14</v>
      </c>
      <c r="K270" s="2">
        <v>17770.45</v>
      </c>
      <c r="L270" s="9">
        <v>1</v>
      </c>
      <c r="M270" s="15">
        <f t="shared" si="13"/>
        <v>17770.45</v>
      </c>
      <c r="N270" s="15">
        <f t="shared" si="14"/>
        <v>0</v>
      </c>
      <c r="O270" t="s">
        <v>15</v>
      </c>
    </row>
    <row r="271" spans="1:15" hidden="1" x14ac:dyDescent="0.35">
      <c r="A271" t="s">
        <v>567</v>
      </c>
      <c r="B271" t="s">
        <v>568</v>
      </c>
      <c r="C271">
        <v>50</v>
      </c>
      <c r="D271" s="8" t="str" cm="1">
        <f t="array" ref="D271">_xlfn.IFS(C271&lt;=2, "Infant", C271&lt;=11, "Child", C271&lt;=17, "Adolescent", C271&lt;=44, "Young Adult", C271&lt;=64, "Middle Aged", C271&lt;=84,"Young Old", C271&gt;=85,"Oldest Old")</f>
        <v>Middle Aged</v>
      </c>
      <c r="E271" t="s">
        <v>18</v>
      </c>
      <c r="F271" s="4">
        <v>45989</v>
      </c>
      <c r="G271" s="4">
        <v>46003</v>
      </c>
      <c r="H271" s="7">
        <f t="shared" si="12"/>
        <v>14</v>
      </c>
      <c r="I271" t="s">
        <v>60</v>
      </c>
      <c r="J271" t="s">
        <v>133</v>
      </c>
      <c r="K271" s="2">
        <v>38493.53</v>
      </c>
      <c r="L271" s="9">
        <v>0</v>
      </c>
      <c r="M271" s="15">
        <f t="shared" si="13"/>
        <v>0</v>
      </c>
      <c r="N271" s="15">
        <f t="shared" si="14"/>
        <v>38493.53</v>
      </c>
      <c r="O271" t="s">
        <v>15</v>
      </c>
    </row>
    <row r="272" spans="1:15" x14ac:dyDescent="0.35">
      <c r="A272" t="s">
        <v>569</v>
      </c>
      <c r="B272" t="s">
        <v>570</v>
      </c>
      <c r="C272">
        <v>71</v>
      </c>
      <c r="D272" s="8" t="str" cm="1">
        <f t="array" ref="D272">_xlfn.IFS(C272&lt;=2, "Infant", C272&lt;=11, "Child", C272&lt;=17, "Adolescent", C272&lt;=44, "Young Adult", C272&lt;=64, "Middle Aged", C272&lt;=84,"Young Old", C272&gt;=85,"Oldest Old")</f>
        <v>Young Old</v>
      </c>
      <c r="E272" t="s">
        <v>18</v>
      </c>
      <c r="F272" s="4">
        <v>45366</v>
      </c>
      <c r="G272" s="4">
        <v>45369</v>
      </c>
      <c r="H272" s="7">
        <f t="shared" si="12"/>
        <v>3</v>
      </c>
      <c r="I272" t="s">
        <v>31</v>
      </c>
      <c r="J272" t="s">
        <v>32</v>
      </c>
      <c r="K272" s="2">
        <v>3136.05</v>
      </c>
      <c r="L272" s="9">
        <v>0.9</v>
      </c>
      <c r="M272" s="15">
        <f t="shared" si="13"/>
        <v>2822.4450000000002</v>
      </c>
      <c r="N272" s="15">
        <f t="shared" si="14"/>
        <v>313.60500000000002</v>
      </c>
      <c r="O272" t="s">
        <v>15</v>
      </c>
    </row>
    <row r="273" spans="1:15" hidden="1" x14ac:dyDescent="0.35">
      <c r="A273" t="s">
        <v>571</v>
      </c>
      <c r="B273" t="s">
        <v>101</v>
      </c>
      <c r="C273">
        <v>41</v>
      </c>
      <c r="D273" s="8" t="str" cm="1">
        <f t="array" ref="D273">_xlfn.IFS(C273&lt;=2, "Infant", C273&lt;=11, "Child", C273&lt;=17, "Adolescent", C273&lt;=44, "Young Adult", C273&lt;=64, "Middle Aged", C273&lt;=84,"Young Old", C273&gt;=85,"Oldest Old")</f>
        <v>Young Adult</v>
      </c>
      <c r="E273" t="s">
        <v>18</v>
      </c>
      <c r="F273" s="4">
        <v>45999</v>
      </c>
      <c r="G273" s="4">
        <v>46009</v>
      </c>
      <c r="H273" s="7">
        <f t="shared" si="12"/>
        <v>10</v>
      </c>
      <c r="I273" t="s">
        <v>13</v>
      </c>
      <c r="J273" t="s">
        <v>102</v>
      </c>
      <c r="K273" s="2">
        <v>28492.22</v>
      </c>
      <c r="L273" s="9">
        <v>0.9</v>
      </c>
      <c r="M273" s="15">
        <f t="shared" si="13"/>
        <v>25642.998000000003</v>
      </c>
      <c r="N273" s="15">
        <f t="shared" si="14"/>
        <v>2849.2219999999979</v>
      </c>
      <c r="O273" t="s">
        <v>15</v>
      </c>
    </row>
    <row r="274" spans="1:15" hidden="1" x14ac:dyDescent="0.35">
      <c r="A274" t="s">
        <v>572</v>
      </c>
      <c r="B274" t="s">
        <v>573</v>
      </c>
      <c r="C274">
        <v>47</v>
      </c>
      <c r="D274" s="8" t="str" cm="1">
        <f t="array" ref="D274">_xlfn.IFS(C274&lt;=2, "Infant", C274&lt;=11, "Child", C274&lt;=17, "Adolescent", C274&lt;=44, "Young Adult", C274&lt;=64, "Middle Aged", C274&lt;=84,"Young Old", C274&gt;=85,"Oldest Old")</f>
        <v>Middle Aged</v>
      </c>
      <c r="E274" t="s">
        <v>12</v>
      </c>
      <c r="F274" s="4">
        <v>45705</v>
      </c>
      <c r="G274" s="4">
        <v>45713</v>
      </c>
      <c r="H274" s="7">
        <f t="shared" si="12"/>
        <v>8</v>
      </c>
      <c r="I274" t="s">
        <v>13</v>
      </c>
      <c r="J274" t="s">
        <v>111</v>
      </c>
      <c r="K274" s="2">
        <v>11794.68</v>
      </c>
      <c r="L274" s="9">
        <v>0.7</v>
      </c>
      <c r="M274" s="15">
        <f t="shared" si="13"/>
        <v>8256.2759999999998</v>
      </c>
      <c r="N274" s="15">
        <f t="shared" si="14"/>
        <v>3538.4040000000005</v>
      </c>
      <c r="O274" t="s">
        <v>25</v>
      </c>
    </row>
    <row r="275" spans="1:15" hidden="1" x14ac:dyDescent="0.35">
      <c r="A275" t="s">
        <v>574</v>
      </c>
      <c r="B275" t="s">
        <v>198</v>
      </c>
      <c r="C275">
        <v>16</v>
      </c>
      <c r="D275" s="8" t="str" cm="1">
        <f t="array" ref="D275">_xlfn.IFS(C275&lt;=2, "Infant", C275&lt;=11, "Child", C275&lt;=17, "Adolescent", C275&lt;=44, "Young Adult", C275&lt;=64, "Middle Aged", C275&lt;=84,"Young Old", C275&gt;=85,"Oldest Old")</f>
        <v>Adolescent</v>
      </c>
      <c r="E275" t="s">
        <v>18</v>
      </c>
      <c r="F275" s="4">
        <v>45634</v>
      </c>
      <c r="G275" s="4">
        <v>45638</v>
      </c>
      <c r="H275" s="7">
        <f t="shared" si="12"/>
        <v>4</v>
      </c>
      <c r="I275" t="s">
        <v>49</v>
      </c>
      <c r="J275" t="s">
        <v>123</v>
      </c>
      <c r="K275" s="2">
        <v>5980.76</v>
      </c>
      <c r="L275" s="9">
        <v>0.8</v>
      </c>
      <c r="M275" s="15">
        <f t="shared" si="13"/>
        <v>4784.6080000000002</v>
      </c>
      <c r="N275" s="15">
        <f t="shared" si="14"/>
        <v>1196.152</v>
      </c>
      <c r="O275" t="s">
        <v>15</v>
      </c>
    </row>
    <row r="276" spans="1:15" hidden="1" x14ac:dyDescent="0.35">
      <c r="A276" t="s">
        <v>575</v>
      </c>
      <c r="B276" t="s">
        <v>22</v>
      </c>
      <c r="C276">
        <v>56</v>
      </c>
      <c r="D276" s="8" t="str" cm="1">
        <f t="array" ref="D276">_xlfn.IFS(C276&lt;=2, "Infant", C276&lt;=11, "Child", C276&lt;=17, "Adolescent", C276&lt;=44, "Young Adult", C276&lt;=64, "Middle Aged", C276&lt;=84,"Young Old", C276&gt;=85,"Oldest Old")</f>
        <v>Middle Aged</v>
      </c>
      <c r="E276" t="s">
        <v>18</v>
      </c>
      <c r="F276" s="4">
        <v>45912</v>
      </c>
      <c r="G276" s="4">
        <v>45923</v>
      </c>
      <c r="H276" s="7">
        <f t="shared" si="12"/>
        <v>11</v>
      </c>
      <c r="I276" t="s">
        <v>70</v>
      </c>
      <c r="J276" t="s">
        <v>295</v>
      </c>
      <c r="K276" s="2">
        <v>16835.150000000001</v>
      </c>
      <c r="L276" s="9">
        <v>1</v>
      </c>
      <c r="M276" s="15">
        <f t="shared" si="13"/>
        <v>16835.150000000001</v>
      </c>
      <c r="N276" s="15">
        <f t="shared" si="14"/>
        <v>0</v>
      </c>
      <c r="O276" t="s">
        <v>15</v>
      </c>
    </row>
    <row r="277" spans="1:15" hidden="1" x14ac:dyDescent="0.35">
      <c r="A277" t="s">
        <v>576</v>
      </c>
      <c r="B277" t="s">
        <v>577</v>
      </c>
      <c r="C277">
        <v>69</v>
      </c>
      <c r="D277" s="8" t="str" cm="1">
        <f t="array" ref="D277">_xlfn.IFS(C277&lt;=2, "Infant", C277&lt;=11, "Child", C277&lt;=17, "Adolescent", C277&lt;=44, "Young Adult", C277&lt;=64, "Middle Aged", C277&lt;=84,"Young Old", C277&gt;=85,"Oldest Old")</f>
        <v>Young Old</v>
      </c>
      <c r="E277" t="s">
        <v>18</v>
      </c>
      <c r="F277" s="4">
        <v>45933</v>
      </c>
      <c r="G277" s="4">
        <v>45937</v>
      </c>
      <c r="H277" s="7">
        <f t="shared" si="12"/>
        <v>4</v>
      </c>
      <c r="I277" t="s">
        <v>31</v>
      </c>
      <c r="J277" t="s">
        <v>114</v>
      </c>
      <c r="K277" s="2">
        <v>2837.18</v>
      </c>
      <c r="L277" s="9">
        <v>1</v>
      </c>
      <c r="M277" s="15">
        <f t="shared" si="13"/>
        <v>2837.18</v>
      </c>
      <c r="N277" s="15">
        <f t="shared" si="14"/>
        <v>0</v>
      </c>
      <c r="O277" t="s">
        <v>25</v>
      </c>
    </row>
    <row r="278" spans="1:15" hidden="1" x14ac:dyDescent="0.35">
      <c r="A278" t="s">
        <v>578</v>
      </c>
      <c r="B278" t="s">
        <v>579</v>
      </c>
      <c r="C278">
        <v>39</v>
      </c>
      <c r="D278" s="8" t="str" cm="1">
        <f t="array" ref="D278">_xlfn.IFS(C278&lt;=2, "Infant", C278&lt;=11, "Child", C278&lt;=17, "Adolescent", C278&lt;=44, "Young Adult", C278&lt;=64, "Middle Aged", C278&lt;=84,"Young Old", C278&gt;=85,"Oldest Old")</f>
        <v>Young Adult</v>
      </c>
      <c r="E278" t="s">
        <v>18</v>
      </c>
      <c r="F278" s="4">
        <v>45778</v>
      </c>
      <c r="G278" s="4">
        <v>45785</v>
      </c>
      <c r="H278" s="7">
        <f t="shared" si="12"/>
        <v>7</v>
      </c>
      <c r="I278" t="s">
        <v>31</v>
      </c>
      <c r="J278" t="s">
        <v>35</v>
      </c>
      <c r="K278" s="2">
        <v>5652.05</v>
      </c>
      <c r="L278" s="9">
        <v>0</v>
      </c>
      <c r="M278" s="15">
        <f t="shared" si="13"/>
        <v>0</v>
      </c>
      <c r="N278" s="15">
        <f t="shared" si="14"/>
        <v>5652.05</v>
      </c>
      <c r="O278" t="s">
        <v>20</v>
      </c>
    </row>
    <row r="279" spans="1:15" hidden="1" x14ac:dyDescent="0.35">
      <c r="A279" t="s">
        <v>580</v>
      </c>
      <c r="B279" t="s">
        <v>581</v>
      </c>
      <c r="C279">
        <v>51</v>
      </c>
      <c r="D279" s="8" t="str" cm="1">
        <f t="array" ref="D279">_xlfn.IFS(C279&lt;=2, "Infant", C279&lt;=11, "Child", C279&lt;=17, "Adolescent", C279&lt;=44, "Young Adult", C279&lt;=64, "Middle Aged", C279&lt;=84,"Young Old", C279&gt;=85,"Oldest Old")</f>
        <v>Middle Aged</v>
      </c>
      <c r="E279" t="s">
        <v>18</v>
      </c>
      <c r="F279" s="4">
        <v>45348</v>
      </c>
      <c r="G279" s="4">
        <v>45356</v>
      </c>
      <c r="H279" s="7">
        <f t="shared" si="12"/>
        <v>8</v>
      </c>
      <c r="I279" t="s">
        <v>13</v>
      </c>
      <c r="J279" t="s">
        <v>14</v>
      </c>
      <c r="K279" s="2">
        <v>15284.52</v>
      </c>
      <c r="L279" s="9">
        <v>0.9</v>
      </c>
      <c r="M279" s="15">
        <f t="shared" si="13"/>
        <v>13756.068000000001</v>
      </c>
      <c r="N279" s="15">
        <f t="shared" si="14"/>
        <v>1528.4519999999993</v>
      </c>
      <c r="O279" t="s">
        <v>15</v>
      </c>
    </row>
    <row r="280" spans="1:15" hidden="1" x14ac:dyDescent="0.35">
      <c r="A280" t="s">
        <v>582</v>
      </c>
      <c r="B280" t="s">
        <v>583</v>
      </c>
      <c r="C280">
        <v>22</v>
      </c>
      <c r="D280" s="8" t="str" cm="1">
        <f t="array" ref="D280">_xlfn.IFS(C280&lt;=2, "Infant", C280&lt;=11, "Child", C280&lt;=17, "Adolescent", C280&lt;=44, "Young Adult", C280&lt;=64, "Middle Aged", C280&lt;=84,"Young Old", C280&gt;=85,"Oldest Old")</f>
        <v>Young Adult</v>
      </c>
      <c r="E280" t="s">
        <v>12</v>
      </c>
      <c r="F280" s="4">
        <v>45465</v>
      </c>
      <c r="G280" s="4">
        <v>45470</v>
      </c>
      <c r="H280" s="7">
        <f t="shared" si="12"/>
        <v>5</v>
      </c>
      <c r="I280" t="s">
        <v>31</v>
      </c>
      <c r="J280" t="s">
        <v>44</v>
      </c>
      <c r="K280" s="2">
        <v>6837.91</v>
      </c>
      <c r="L280" s="9">
        <v>0.8</v>
      </c>
      <c r="M280" s="15">
        <f t="shared" si="13"/>
        <v>5470.3280000000004</v>
      </c>
      <c r="N280" s="15">
        <f t="shared" si="14"/>
        <v>1367.5819999999994</v>
      </c>
      <c r="O280" t="s">
        <v>20</v>
      </c>
    </row>
    <row r="281" spans="1:15" hidden="1" x14ac:dyDescent="0.35">
      <c r="A281" t="s">
        <v>584</v>
      </c>
      <c r="B281" t="s">
        <v>585</v>
      </c>
      <c r="C281">
        <v>27</v>
      </c>
      <c r="D281" s="8" t="str" cm="1">
        <f t="array" ref="D281">_xlfn.IFS(C281&lt;=2, "Infant", C281&lt;=11, "Child", C281&lt;=17, "Adolescent", C281&lt;=44, "Young Adult", C281&lt;=64, "Middle Aged", C281&lt;=84,"Young Old", C281&gt;=85,"Oldest Old")</f>
        <v>Young Adult</v>
      </c>
      <c r="E281" t="s">
        <v>18</v>
      </c>
      <c r="F281" s="4">
        <v>45853</v>
      </c>
      <c r="G281" s="4">
        <v>45863</v>
      </c>
      <c r="H281" s="7">
        <f t="shared" si="12"/>
        <v>10</v>
      </c>
      <c r="I281" t="s">
        <v>60</v>
      </c>
      <c r="J281" t="s">
        <v>74</v>
      </c>
      <c r="K281" s="2">
        <v>16726.009999999998</v>
      </c>
      <c r="L281" s="9">
        <v>0.8</v>
      </c>
      <c r="M281" s="15">
        <f t="shared" si="13"/>
        <v>13380.807999999999</v>
      </c>
      <c r="N281" s="15">
        <f t="shared" si="14"/>
        <v>3345.2019999999993</v>
      </c>
      <c r="O281" t="s">
        <v>15</v>
      </c>
    </row>
    <row r="282" spans="1:15" hidden="1" x14ac:dyDescent="0.35">
      <c r="A282" t="s">
        <v>586</v>
      </c>
      <c r="B282" t="s">
        <v>587</v>
      </c>
      <c r="C282">
        <v>85</v>
      </c>
      <c r="D282" s="8" t="str" cm="1">
        <f t="array" ref="D282">_xlfn.IFS(C282&lt;=2, "Infant", C282&lt;=11, "Child", C282&lt;=17, "Adolescent", C282&lt;=44, "Young Adult", C282&lt;=64, "Middle Aged", C282&lt;=84,"Young Old", C282&gt;=85,"Oldest Old")</f>
        <v>Oldest Old</v>
      </c>
      <c r="E282" t="s">
        <v>18</v>
      </c>
      <c r="F282" s="4">
        <v>45547</v>
      </c>
      <c r="G282" s="4">
        <v>45553</v>
      </c>
      <c r="H282" s="7">
        <f t="shared" si="12"/>
        <v>6</v>
      </c>
      <c r="I282" t="s">
        <v>13</v>
      </c>
      <c r="J282" t="s">
        <v>111</v>
      </c>
      <c r="K282" s="2">
        <v>17937.11</v>
      </c>
      <c r="L282" s="9">
        <v>0.7</v>
      </c>
      <c r="M282" s="15">
        <f t="shared" si="13"/>
        <v>12555.976999999999</v>
      </c>
      <c r="N282" s="15">
        <f t="shared" si="14"/>
        <v>5381.1330000000016</v>
      </c>
      <c r="O282" t="s">
        <v>25</v>
      </c>
    </row>
    <row r="283" spans="1:15" hidden="1" x14ac:dyDescent="0.35">
      <c r="A283" t="s">
        <v>588</v>
      </c>
      <c r="B283" t="s">
        <v>589</v>
      </c>
      <c r="C283">
        <v>33</v>
      </c>
      <c r="D283" s="8" t="str" cm="1">
        <f t="array" ref="D283">_xlfn.IFS(C283&lt;=2, "Infant", C283&lt;=11, "Child", C283&lt;=17, "Adolescent", C283&lt;=44, "Young Adult", C283&lt;=64, "Middle Aged", C283&lt;=84,"Young Old", C283&gt;=85,"Oldest Old")</f>
        <v>Young Adult</v>
      </c>
      <c r="E283" t="s">
        <v>12</v>
      </c>
      <c r="F283" s="4">
        <v>45601</v>
      </c>
      <c r="G283" s="4">
        <v>45615</v>
      </c>
      <c r="H283" s="7">
        <f t="shared" si="12"/>
        <v>14</v>
      </c>
      <c r="I283" t="s">
        <v>60</v>
      </c>
      <c r="J283" t="s">
        <v>142</v>
      </c>
      <c r="K283" s="2">
        <v>27571.59</v>
      </c>
      <c r="L283" s="9">
        <v>0.9</v>
      </c>
      <c r="M283" s="15">
        <f t="shared" si="13"/>
        <v>24814.431</v>
      </c>
      <c r="N283" s="15">
        <f t="shared" si="14"/>
        <v>2757.1589999999997</v>
      </c>
      <c r="O283" t="s">
        <v>15</v>
      </c>
    </row>
    <row r="284" spans="1:15" hidden="1" x14ac:dyDescent="0.35">
      <c r="A284" t="s">
        <v>590</v>
      </c>
      <c r="B284" t="s">
        <v>101</v>
      </c>
      <c r="C284">
        <v>83</v>
      </c>
      <c r="D284" s="8" t="str" cm="1">
        <f t="array" ref="D284">_xlfn.IFS(C284&lt;=2, "Infant", C284&lt;=11, "Child", C284&lt;=17, "Adolescent", C284&lt;=44, "Young Adult", C284&lt;=64, "Middle Aged", C284&lt;=84,"Young Old", C284&gt;=85,"Oldest Old")</f>
        <v>Young Old</v>
      </c>
      <c r="E284" t="s">
        <v>18</v>
      </c>
      <c r="F284" s="4">
        <v>45589</v>
      </c>
      <c r="G284" s="4">
        <v>45595</v>
      </c>
      <c r="H284" s="7">
        <f t="shared" si="12"/>
        <v>6</v>
      </c>
      <c r="I284" t="s">
        <v>13</v>
      </c>
      <c r="J284" t="s">
        <v>111</v>
      </c>
      <c r="K284" s="2">
        <v>13621.44</v>
      </c>
      <c r="L284" s="9">
        <v>0.7</v>
      </c>
      <c r="M284" s="15">
        <f t="shared" si="13"/>
        <v>9535.0079999999998</v>
      </c>
      <c r="N284" s="15">
        <f t="shared" si="14"/>
        <v>4086.4320000000007</v>
      </c>
      <c r="O284" t="s">
        <v>25</v>
      </c>
    </row>
    <row r="285" spans="1:15" hidden="1" x14ac:dyDescent="0.35">
      <c r="A285" t="s">
        <v>591</v>
      </c>
      <c r="B285" t="s">
        <v>592</v>
      </c>
      <c r="C285">
        <v>54</v>
      </c>
      <c r="D285" s="8" t="str" cm="1">
        <f t="array" ref="D285">_xlfn.IFS(C285&lt;=2, "Infant", C285&lt;=11, "Child", C285&lt;=17, "Adolescent", C285&lt;=44, "Young Adult", C285&lt;=64, "Middle Aged", C285&lt;=84,"Young Old", C285&gt;=85,"Oldest Old")</f>
        <v>Middle Aged</v>
      </c>
      <c r="E285" t="s">
        <v>12</v>
      </c>
      <c r="F285" s="4">
        <v>45579</v>
      </c>
      <c r="G285" s="4">
        <v>45584</v>
      </c>
      <c r="H285" s="7">
        <f t="shared" si="12"/>
        <v>5</v>
      </c>
      <c r="I285" t="s">
        <v>70</v>
      </c>
      <c r="J285" t="s">
        <v>295</v>
      </c>
      <c r="K285" s="2">
        <v>7553.52</v>
      </c>
      <c r="L285" s="9">
        <v>0.5</v>
      </c>
      <c r="M285" s="15">
        <f t="shared" si="13"/>
        <v>3776.76</v>
      </c>
      <c r="N285" s="15">
        <f t="shared" si="14"/>
        <v>3776.76</v>
      </c>
      <c r="O285" t="s">
        <v>15</v>
      </c>
    </row>
    <row r="286" spans="1:15" hidden="1" x14ac:dyDescent="0.35">
      <c r="A286" t="s">
        <v>593</v>
      </c>
      <c r="B286" t="s">
        <v>594</v>
      </c>
      <c r="C286">
        <v>53</v>
      </c>
      <c r="D286" s="8" t="str" cm="1">
        <f t="array" ref="D286">_xlfn.IFS(C286&lt;=2, "Infant", C286&lt;=11, "Child", C286&lt;=17, "Adolescent", C286&lt;=44, "Young Adult", C286&lt;=64, "Middle Aged", C286&lt;=84,"Young Old", C286&gt;=85,"Oldest Old")</f>
        <v>Middle Aged</v>
      </c>
      <c r="E286" t="s">
        <v>18</v>
      </c>
      <c r="F286" s="4">
        <v>45612</v>
      </c>
      <c r="G286" s="4">
        <v>45625</v>
      </c>
      <c r="H286" s="7">
        <f t="shared" si="12"/>
        <v>13</v>
      </c>
      <c r="I286" t="s">
        <v>60</v>
      </c>
      <c r="J286" t="s">
        <v>133</v>
      </c>
      <c r="K286" s="2">
        <v>34671.78</v>
      </c>
      <c r="L286" s="9">
        <v>0.6</v>
      </c>
      <c r="M286" s="15">
        <f t="shared" si="13"/>
        <v>20803.067999999999</v>
      </c>
      <c r="N286" s="15">
        <f t="shared" si="14"/>
        <v>13868.712</v>
      </c>
      <c r="O286" t="s">
        <v>15</v>
      </c>
    </row>
    <row r="287" spans="1:15" hidden="1" x14ac:dyDescent="0.35">
      <c r="A287" t="s">
        <v>595</v>
      </c>
      <c r="B287" t="s">
        <v>596</v>
      </c>
      <c r="C287">
        <v>81</v>
      </c>
      <c r="D287" s="8" t="str" cm="1">
        <f t="array" ref="D287">_xlfn.IFS(C287&lt;=2, "Infant", C287&lt;=11, "Child", C287&lt;=17, "Adolescent", C287&lt;=44, "Young Adult", C287&lt;=64, "Middle Aged", C287&lt;=84,"Young Old", C287&gt;=85,"Oldest Old")</f>
        <v>Young Old</v>
      </c>
      <c r="E287" t="s">
        <v>12</v>
      </c>
      <c r="F287" s="4">
        <v>45868</v>
      </c>
      <c r="G287" s="4">
        <v>45873</v>
      </c>
      <c r="H287" s="7">
        <f t="shared" si="12"/>
        <v>5</v>
      </c>
      <c r="I287" t="s">
        <v>13</v>
      </c>
      <c r="J287" t="s">
        <v>111</v>
      </c>
      <c r="K287" s="2">
        <v>13674.29</v>
      </c>
      <c r="L287" s="9">
        <v>0.8</v>
      </c>
      <c r="M287" s="15">
        <f t="shared" si="13"/>
        <v>10939.432000000001</v>
      </c>
      <c r="N287" s="15">
        <f t="shared" si="14"/>
        <v>2734.8580000000002</v>
      </c>
      <c r="O287" t="s">
        <v>15</v>
      </c>
    </row>
    <row r="288" spans="1:15" hidden="1" x14ac:dyDescent="0.35">
      <c r="A288" t="s">
        <v>597</v>
      </c>
      <c r="B288" t="s">
        <v>598</v>
      </c>
      <c r="C288">
        <v>31</v>
      </c>
      <c r="D288" s="8" t="str" cm="1">
        <f t="array" ref="D288">_xlfn.IFS(C288&lt;=2, "Infant", C288&lt;=11, "Child", C288&lt;=17, "Adolescent", C288&lt;=44, "Young Adult", C288&lt;=64, "Middle Aged", C288&lt;=84,"Young Old", C288&gt;=85,"Oldest Old")</f>
        <v>Young Adult</v>
      </c>
      <c r="E288" t="s">
        <v>18</v>
      </c>
      <c r="F288" s="4">
        <v>45706</v>
      </c>
      <c r="G288" s="4">
        <v>45716</v>
      </c>
      <c r="H288" s="7">
        <f t="shared" si="12"/>
        <v>10</v>
      </c>
      <c r="I288" t="s">
        <v>70</v>
      </c>
      <c r="J288" t="s">
        <v>157</v>
      </c>
      <c r="K288" s="2">
        <v>18872.25</v>
      </c>
      <c r="L288" s="9">
        <v>1</v>
      </c>
      <c r="M288" s="15">
        <f t="shared" si="13"/>
        <v>18872.25</v>
      </c>
      <c r="N288" s="15">
        <f t="shared" si="14"/>
        <v>0</v>
      </c>
      <c r="O288" t="s">
        <v>15</v>
      </c>
    </row>
    <row r="289" spans="1:15" hidden="1" x14ac:dyDescent="0.35">
      <c r="A289" t="s">
        <v>599</v>
      </c>
      <c r="B289" t="s">
        <v>600</v>
      </c>
      <c r="C289">
        <v>22</v>
      </c>
      <c r="D289" s="8" t="str" cm="1">
        <f t="array" ref="D289">_xlfn.IFS(C289&lt;=2, "Infant", C289&lt;=11, "Child", C289&lt;=17, "Adolescent", C289&lt;=44, "Young Adult", C289&lt;=64, "Middle Aged", C289&lt;=84,"Young Old", C289&gt;=85,"Oldest Old")</f>
        <v>Young Adult</v>
      </c>
      <c r="E289" t="s">
        <v>12</v>
      </c>
      <c r="F289" s="4">
        <v>45648</v>
      </c>
      <c r="G289" s="4">
        <v>45654</v>
      </c>
      <c r="H289" s="7">
        <f t="shared" si="12"/>
        <v>6</v>
      </c>
      <c r="I289" t="s">
        <v>31</v>
      </c>
      <c r="J289" t="s">
        <v>44</v>
      </c>
      <c r="K289" s="2">
        <v>8363.1</v>
      </c>
      <c r="L289" s="9">
        <v>0.6</v>
      </c>
      <c r="M289" s="15">
        <f t="shared" si="13"/>
        <v>5017.8599999999997</v>
      </c>
      <c r="N289" s="15">
        <f t="shared" si="14"/>
        <v>3345.2400000000007</v>
      </c>
      <c r="O289" t="s">
        <v>25</v>
      </c>
    </row>
    <row r="290" spans="1:15" hidden="1" x14ac:dyDescent="0.35">
      <c r="A290" t="s">
        <v>601</v>
      </c>
      <c r="B290" t="s">
        <v>602</v>
      </c>
      <c r="C290">
        <v>1</v>
      </c>
      <c r="D290" s="8" t="str" cm="1">
        <f t="array" ref="D290">_xlfn.IFS(C290&lt;=2, "Infant", C290&lt;=11, "Child", C290&lt;=17, "Adolescent", C290&lt;=44, "Young Adult", C290&lt;=64, "Middle Aged", C290&lt;=84,"Young Old", C290&gt;=85,"Oldest Old")</f>
        <v>Infant</v>
      </c>
      <c r="E290" t="s">
        <v>12</v>
      </c>
      <c r="F290" s="4">
        <v>45990</v>
      </c>
      <c r="G290" s="4">
        <v>45993</v>
      </c>
      <c r="H290" s="7">
        <f t="shared" si="12"/>
        <v>3</v>
      </c>
      <c r="I290" t="s">
        <v>49</v>
      </c>
      <c r="J290" t="s">
        <v>120</v>
      </c>
      <c r="K290" s="2">
        <v>3886.44</v>
      </c>
      <c r="L290" s="9">
        <v>0.9</v>
      </c>
      <c r="M290" s="15">
        <f t="shared" si="13"/>
        <v>3497.7960000000003</v>
      </c>
      <c r="N290" s="15">
        <f t="shared" si="14"/>
        <v>388.64399999999978</v>
      </c>
      <c r="O290" t="s">
        <v>15</v>
      </c>
    </row>
    <row r="291" spans="1:15" hidden="1" x14ac:dyDescent="0.35">
      <c r="A291" t="s">
        <v>603</v>
      </c>
      <c r="B291" t="s">
        <v>604</v>
      </c>
      <c r="C291">
        <v>52</v>
      </c>
      <c r="D291" s="8" t="str" cm="1">
        <f t="array" ref="D291">_xlfn.IFS(C291&lt;=2, "Infant", C291&lt;=11, "Child", C291&lt;=17, "Adolescent", C291&lt;=44, "Young Adult", C291&lt;=64, "Middle Aged", C291&lt;=84,"Young Old", C291&gt;=85,"Oldest Old")</f>
        <v>Middle Aged</v>
      </c>
      <c r="E291" t="s">
        <v>12</v>
      </c>
      <c r="F291" s="4">
        <v>45929</v>
      </c>
      <c r="G291" s="4">
        <v>45931</v>
      </c>
      <c r="H291" s="7">
        <f t="shared" si="12"/>
        <v>2</v>
      </c>
      <c r="I291" t="s">
        <v>31</v>
      </c>
      <c r="J291" t="s">
        <v>87</v>
      </c>
      <c r="K291" s="2">
        <v>2780.94</v>
      </c>
      <c r="L291" s="9">
        <v>0.8</v>
      </c>
      <c r="M291" s="15">
        <f t="shared" si="13"/>
        <v>2224.752</v>
      </c>
      <c r="N291" s="15">
        <f t="shared" si="14"/>
        <v>556.1880000000001</v>
      </c>
      <c r="O291" t="s">
        <v>15</v>
      </c>
    </row>
    <row r="292" spans="1:15" hidden="1" x14ac:dyDescent="0.35">
      <c r="A292" t="s">
        <v>605</v>
      </c>
      <c r="B292" t="s">
        <v>606</v>
      </c>
      <c r="C292">
        <v>11</v>
      </c>
      <c r="D292" s="8" t="str" cm="1">
        <f t="array" ref="D292">_xlfn.IFS(C292&lt;=2, "Infant", C292&lt;=11, "Child", C292&lt;=17, "Adolescent", C292&lt;=44, "Young Adult", C292&lt;=64, "Middle Aged", C292&lt;=84,"Young Old", C292&gt;=85,"Oldest Old")</f>
        <v>Child</v>
      </c>
      <c r="E292" t="s">
        <v>12</v>
      </c>
      <c r="F292" s="4">
        <v>45399</v>
      </c>
      <c r="G292" s="4">
        <v>45400</v>
      </c>
      <c r="H292" s="7">
        <f t="shared" si="12"/>
        <v>1</v>
      </c>
      <c r="I292" t="s">
        <v>49</v>
      </c>
      <c r="J292" t="s">
        <v>50</v>
      </c>
      <c r="K292" s="2">
        <v>1277.56</v>
      </c>
      <c r="L292" s="9">
        <v>0.7</v>
      </c>
      <c r="M292" s="15">
        <f t="shared" si="13"/>
        <v>894.29199999999992</v>
      </c>
      <c r="N292" s="15">
        <f t="shared" si="14"/>
        <v>383.26800000000003</v>
      </c>
      <c r="O292" t="s">
        <v>20</v>
      </c>
    </row>
    <row r="293" spans="1:15" hidden="1" x14ac:dyDescent="0.35">
      <c r="A293" t="s">
        <v>607</v>
      </c>
      <c r="B293" t="s">
        <v>608</v>
      </c>
      <c r="C293">
        <v>6</v>
      </c>
      <c r="D293" s="8" t="str" cm="1">
        <f t="array" ref="D293">_xlfn.IFS(C293&lt;=2, "Infant", C293&lt;=11, "Child", C293&lt;=17, "Adolescent", C293&lt;=44, "Young Adult", C293&lt;=64, "Middle Aged", C293&lt;=84,"Young Old", C293&gt;=85,"Oldest Old")</f>
        <v>Child</v>
      </c>
      <c r="E293" t="s">
        <v>18</v>
      </c>
      <c r="F293" s="4">
        <v>45343</v>
      </c>
      <c r="G293" s="4">
        <v>45346</v>
      </c>
      <c r="H293" s="7">
        <f t="shared" si="12"/>
        <v>3</v>
      </c>
      <c r="I293" t="s">
        <v>49</v>
      </c>
      <c r="J293" t="s">
        <v>130</v>
      </c>
      <c r="K293" s="2">
        <v>2921.29</v>
      </c>
      <c r="L293" s="9">
        <v>0.5</v>
      </c>
      <c r="M293" s="15">
        <f t="shared" si="13"/>
        <v>1460.645</v>
      </c>
      <c r="N293" s="15">
        <f t="shared" si="14"/>
        <v>1460.645</v>
      </c>
      <c r="O293" t="s">
        <v>25</v>
      </c>
    </row>
    <row r="294" spans="1:15" hidden="1" x14ac:dyDescent="0.35">
      <c r="A294" t="s">
        <v>609</v>
      </c>
      <c r="B294" t="s">
        <v>610</v>
      </c>
      <c r="C294">
        <v>74</v>
      </c>
      <c r="D294" s="8" t="str" cm="1">
        <f t="array" ref="D294">_xlfn.IFS(C294&lt;=2, "Infant", C294&lt;=11, "Child", C294&lt;=17, "Adolescent", C294&lt;=44, "Young Adult", C294&lt;=64, "Middle Aged", C294&lt;=84,"Young Old", C294&gt;=85,"Oldest Old")</f>
        <v>Young Old</v>
      </c>
      <c r="E294" t="s">
        <v>18</v>
      </c>
      <c r="F294" s="4">
        <v>45486</v>
      </c>
      <c r="G294" s="4">
        <v>45489</v>
      </c>
      <c r="H294" s="7">
        <f t="shared" si="12"/>
        <v>3</v>
      </c>
      <c r="I294" t="s">
        <v>23</v>
      </c>
      <c r="J294" t="s">
        <v>28</v>
      </c>
      <c r="K294" s="2">
        <v>4516.54</v>
      </c>
      <c r="L294" s="9">
        <v>0.7</v>
      </c>
      <c r="M294" s="15">
        <f t="shared" si="13"/>
        <v>3161.578</v>
      </c>
      <c r="N294" s="15">
        <f t="shared" si="14"/>
        <v>1354.962</v>
      </c>
      <c r="O294" t="s">
        <v>20</v>
      </c>
    </row>
    <row r="295" spans="1:15" hidden="1" x14ac:dyDescent="0.35">
      <c r="A295" t="s">
        <v>611</v>
      </c>
      <c r="B295" t="s">
        <v>612</v>
      </c>
      <c r="C295">
        <v>37</v>
      </c>
      <c r="D295" s="8" t="str" cm="1">
        <f t="array" ref="D295">_xlfn.IFS(C295&lt;=2, "Infant", C295&lt;=11, "Child", C295&lt;=17, "Adolescent", C295&lt;=44, "Young Adult", C295&lt;=64, "Middle Aged", C295&lt;=84,"Young Old", C295&gt;=85,"Oldest Old")</f>
        <v>Young Adult</v>
      </c>
      <c r="E295" t="s">
        <v>18</v>
      </c>
      <c r="F295" s="4">
        <v>45372</v>
      </c>
      <c r="G295" s="4">
        <v>45385</v>
      </c>
      <c r="H295" s="7">
        <f t="shared" si="12"/>
        <v>13</v>
      </c>
      <c r="I295" t="s">
        <v>60</v>
      </c>
      <c r="J295" t="s">
        <v>133</v>
      </c>
      <c r="K295" s="2">
        <v>15943.22</v>
      </c>
      <c r="L295" s="9">
        <v>0.8</v>
      </c>
      <c r="M295" s="15">
        <f t="shared" si="13"/>
        <v>12754.576000000001</v>
      </c>
      <c r="N295" s="15">
        <f t="shared" si="14"/>
        <v>3188.6439999999984</v>
      </c>
      <c r="O295" t="s">
        <v>15</v>
      </c>
    </row>
    <row r="296" spans="1:15" hidden="1" x14ac:dyDescent="0.35">
      <c r="A296" t="s">
        <v>613</v>
      </c>
      <c r="B296" t="s">
        <v>183</v>
      </c>
      <c r="C296">
        <v>84</v>
      </c>
      <c r="D296" s="8" t="str" cm="1">
        <f t="array" ref="D296">_xlfn.IFS(C296&lt;=2, "Infant", C296&lt;=11, "Child", C296&lt;=17, "Adolescent", C296&lt;=44, "Young Adult", C296&lt;=64, "Middle Aged", C296&lt;=84,"Young Old", C296&gt;=85,"Oldest Old")</f>
        <v>Young Old</v>
      </c>
      <c r="E296" t="s">
        <v>18</v>
      </c>
      <c r="F296" s="4">
        <v>45443</v>
      </c>
      <c r="G296" s="4">
        <v>45446</v>
      </c>
      <c r="H296" s="7">
        <f t="shared" si="12"/>
        <v>3</v>
      </c>
      <c r="I296" t="s">
        <v>13</v>
      </c>
      <c r="J296" t="s">
        <v>19</v>
      </c>
      <c r="K296" s="2">
        <v>6113</v>
      </c>
      <c r="L296" s="9">
        <v>0.8</v>
      </c>
      <c r="M296" s="15">
        <f t="shared" si="13"/>
        <v>4890.4000000000005</v>
      </c>
      <c r="N296" s="15">
        <f t="shared" si="14"/>
        <v>1222.5999999999995</v>
      </c>
      <c r="O296" t="s">
        <v>15</v>
      </c>
    </row>
    <row r="297" spans="1:15" hidden="1" x14ac:dyDescent="0.35">
      <c r="A297" t="s">
        <v>614</v>
      </c>
      <c r="B297" t="s">
        <v>516</v>
      </c>
      <c r="C297">
        <v>70</v>
      </c>
      <c r="D297" s="8" t="str" cm="1">
        <f t="array" ref="D297">_xlfn.IFS(C297&lt;=2, "Infant", C297&lt;=11, "Child", C297&lt;=17, "Adolescent", C297&lt;=44, "Young Adult", C297&lt;=64, "Middle Aged", C297&lt;=84,"Young Old", C297&gt;=85,"Oldest Old")</f>
        <v>Young Old</v>
      </c>
      <c r="E297" t="s">
        <v>12</v>
      </c>
      <c r="F297" s="4">
        <v>45507</v>
      </c>
      <c r="G297" s="4">
        <v>45510</v>
      </c>
      <c r="H297" s="7">
        <f t="shared" si="12"/>
        <v>3</v>
      </c>
      <c r="I297" t="s">
        <v>23</v>
      </c>
      <c r="J297" t="s">
        <v>41</v>
      </c>
      <c r="K297" s="2">
        <v>4356.16</v>
      </c>
      <c r="L297" s="9">
        <v>0</v>
      </c>
      <c r="M297" s="15">
        <f t="shared" si="13"/>
        <v>0</v>
      </c>
      <c r="N297" s="15">
        <f t="shared" si="14"/>
        <v>4356.16</v>
      </c>
      <c r="O297" t="s">
        <v>15</v>
      </c>
    </row>
    <row r="298" spans="1:15" hidden="1" x14ac:dyDescent="0.35">
      <c r="A298" t="s">
        <v>615</v>
      </c>
      <c r="B298" t="s">
        <v>616</v>
      </c>
      <c r="C298">
        <v>18</v>
      </c>
      <c r="D298" s="8" t="str" cm="1">
        <f t="array" ref="D298">_xlfn.IFS(C298&lt;=2, "Infant", C298&lt;=11, "Child", C298&lt;=17, "Adolescent", C298&lt;=44, "Young Adult", C298&lt;=64, "Middle Aged", C298&lt;=84,"Young Old", C298&gt;=85,"Oldest Old")</f>
        <v>Young Adult</v>
      </c>
      <c r="E298" t="s">
        <v>12</v>
      </c>
      <c r="F298" s="4">
        <v>45794</v>
      </c>
      <c r="G298" s="4">
        <v>45797</v>
      </c>
      <c r="H298" s="7">
        <f t="shared" si="12"/>
        <v>3</v>
      </c>
      <c r="I298" t="s">
        <v>23</v>
      </c>
      <c r="J298" t="s">
        <v>24</v>
      </c>
      <c r="K298" s="2">
        <v>2810.17</v>
      </c>
      <c r="L298" s="9">
        <v>0.9</v>
      </c>
      <c r="M298" s="15">
        <f t="shared" si="13"/>
        <v>2529.1530000000002</v>
      </c>
      <c r="N298" s="15">
        <f t="shared" si="14"/>
        <v>281.01699999999983</v>
      </c>
      <c r="O298" t="s">
        <v>15</v>
      </c>
    </row>
    <row r="299" spans="1:15" hidden="1" x14ac:dyDescent="0.35">
      <c r="A299" t="s">
        <v>617</v>
      </c>
      <c r="B299" t="s">
        <v>618</v>
      </c>
      <c r="C299">
        <v>41</v>
      </c>
      <c r="D299" s="8" t="str" cm="1">
        <f t="array" ref="D299">_xlfn.IFS(C299&lt;=2, "Infant", C299&lt;=11, "Child", C299&lt;=17, "Adolescent", C299&lt;=44, "Young Adult", C299&lt;=64, "Middle Aged", C299&lt;=84,"Young Old", C299&gt;=85,"Oldest Old")</f>
        <v>Young Adult</v>
      </c>
      <c r="E299" t="s">
        <v>18</v>
      </c>
      <c r="F299" s="4">
        <v>45559</v>
      </c>
      <c r="G299" s="4">
        <v>45563</v>
      </c>
      <c r="H299" s="7">
        <f t="shared" si="12"/>
        <v>4</v>
      </c>
      <c r="I299" t="s">
        <v>31</v>
      </c>
      <c r="J299" t="s">
        <v>87</v>
      </c>
      <c r="K299" s="2">
        <v>3049.69</v>
      </c>
      <c r="L299" s="9">
        <v>0.6</v>
      </c>
      <c r="M299" s="15">
        <f t="shared" si="13"/>
        <v>1829.8140000000001</v>
      </c>
      <c r="N299" s="15">
        <f t="shared" si="14"/>
        <v>1219.876</v>
      </c>
      <c r="O299" t="s">
        <v>15</v>
      </c>
    </row>
    <row r="300" spans="1:15" hidden="1" x14ac:dyDescent="0.35">
      <c r="A300" t="s">
        <v>619</v>
      </c>
      <c r="B300" t="s">
        <v>620</v>
      </c>
      <c r="C300">
        <v>70</v>
      </c>
      <c r="D300" s="8" t="str" cm="1">
        <f t="array" ref="D300">_xlfn.IFS(C300&lt;=2, "Infant", C300&lt;=11, "Child", C300&lt;=17, "Adolescent", C300&lt;=44, "Young Adult", C300&lt;=64, "Middle Aged", C300&lt;=84,"Young Old", C300&gt;=85,"Oldest Old")</f>
        <v>Young Old</v>
      </c>
      <c r="E300" t="s">
        <v>18</v>
      </c>
      <c r="F300" s="4">
        <v>45763</v>
      </c>
      <c r="G300" s="4">
        <v>45766</v>
      </c>
      <c r="H300" s="7">
        <f t="shared" si="12"/>
        <v>3</v>
      </c>
      <c r="I300" t="s">
        <v>31</v>
      </c>
      <c r="J300" t="s">
        <v>87</v>
      </c>
      <c r="K300" s="2">
        <v>2096.4899999999998</v>
      </c>
      <c r="L300" s="9">
        <v>0.6</v>
      </c>
      <c r="M300" s="15">
        <f t="shared" si="13"/>
        <v>1257.8939999999998</v>
      </c>
      <c r="N300" s="15">
        <f t="shared" si="14"/>
        <v>838.596</v>
      </c>
      <c r="O300" t="s">
        <v>20</v>
      </c>
    </row>
    <row r="301" spans="1:15" hidden="1" x14ac:dyDescent="0.35">
      <c r="A301" t="s">
        <v>621</v>
      </c>
      <c r="B301" t="s">
        <v>622</v>
      </c>
      <c r="C301">
        <v>44</v>
      </c>
      <c r="D301" s="8" t="str" cm="1">
        <f t="array" ref="D301">_xlfn.IFS(C301&lt;=2, "Infant", C301&lt;=11, "Child", C301&lt;=17, "Adolescent", C301&lt;=44, "Young Adult", C301&lt;=64, "Middle Aged", C301&lt;=84,"Young Old", C301&gt;=85,"Oldest Old")</f>
        <v>Young Adult</v>
      </c>
      <c r="E301" t="s">
        <v>18</v>
      </c>
      <c r="F301" s="4">
        <v>45905</v>
      </c>
      <c r="G301" s="4">
        <v>45910</v>
      </c>
      <c r="H301" s="7">
        <f t="shared" si="12"/>
        <v>5</v>
      </c>
      <c r="I301" t="s">
        <v>60</v>
      </c>
      <c r="J301" t="s">
        <v>97</v>
      </c>
      <c r="K301" s="2">
        <v>12341.99</v>
      </c>
      <c r="L301" s="9">
        <v>0.7</v>
      </c>
      <c r="M301" s="15">
        <f t="shared" si="13"/>
        <v>8639.393</v>
      </c>
      <c r="N301" s="15">
        <f t="shared" si="14"/>
        <v>3702.5969999999998</v>
      </c>
      <c r="O301" t="s">
        <v>15</v>
      </c>
    </row>
    <row r="302" spans="1:15" hidden="1" x14ac:dyDescent="0.35">
      <c r="A302" t="s">
        <v>623</v>
      </c>
      <c r="B302" t="s">
        <v>624</v>
      </c>
      <c r="C302">
        <v>31</v>
      </c>
      <c r="D302" s="8" t="str" cm="1">
        <f t="array" ref="D302">_xlfn.IFS(C302&lt;=2, "Infant", C302&lt;=11, "Child", C302&lt;=17, "Adolescent", C302&lt;=44, "Young Adult", C302&lt;=64, "Middle Aged", C302&lt;=84,"Young Old", C302&gt;=85,"Oldest Old")</f>
        <v>Young Adult</v>
      </c>
      <c r="E302" t="s">
        <v>12</v>
      </c>
      <c r="F302" s="4">
        <v>45882</v>
      </c>
      <c r="G302" s="4">
        <v>45885</v>
      </c>
      <c r="H302" s="7">
        <f t="shared" si="12"/>
        <v>3</v>
      </c>
      <c r="I302" t="s">
        <v>23</v>
      </c>
      <c r="J302" t="s">
        <v>333</v>
      </c>
      <c r="K302" s="2">
        <v>3445.79</v>
      </c>
      <c r="L302" s="9">
        <v>0.9</v>
      </c>
      <c r="M302" s="15">
        <f t="shared" si="13"/>
        <v>3101.2110000000002</v>
      </c>
      <c r="N302" s="15">
        <f t="shared" si="14"/>
        <v>344.57899999999972</v>
      </c>
      <c r="O302" t="s">
        <v>15</v>
      </c>
    </row>
    <row r="303" spans="1:15" hidden="1" x14ac:dyDescent="0.35">
      <c r="A303" t="s">
        <v>625</v>
      </c>
      <c r="B303" t="s">
        <v>626</v>
      </c>
      <c r="C303">
        <v>68</v>
      </c>
      <c r="D303" s="8" t="str" cm="1">
        <f t="array" ref="D303">_xlfn.IFS(C303&lt;=2, "Infant", C303&lt;=11, "Child", C303&lt;=17, "Adolescent", C303&lt;=44, "Young Adult", C303&lt;=64, "Middle Aged", C303&lt;=84,"Young Old", C303&gt;=85,"Oldest Old")</f>
        <v>Young Old</v>
      </c>
      <c r="E303" t="s">
        <v>18</v>
      </c>
      <c r="F303" s="4">
        <v>45395</v>
      </c>
      <c r="G303" s="4">
        <v>45398</v>
      </c>
      <c r="H303" s="7">
        <f t="shared" si="12"/>
        <v>3</v>
      </c>
      <c r="I303" t="s">
        <v>13</v>
      </c>
      <c r="J303" t="s">
        <v>111</v>
      </c>
      <c r="K303" s="2">
        <v>4176.93</v>
      </c>
      <c r="L303" s="9">
        <v>0</v>
      </c>
      <c r="M303" s="15">
        <f t="shared" si="13"/>
        <v>0</v>
      </c>
      <c r="N303" s="15">
        <f t="shared" si="14"/>
        <v>4176.93</v>
      </c>
      <c r="O303" t="s">
        <v>15</v>
      </c>
    </row>
    <row r="304" spans="1:15" hidden="1" x14ac:dyDescent="0.35">
      <c r="A304" t="s">
        <v>627</v>
      </c>
      <c r="B304" t="s">
        <v>628</v>
      </c>
      <c r="C304">
        <v>50</v>
      </c>
      <c r="D304" s="8" t="str" cm="1">
        <f t="array" ref="D304">_xlfn.IFS(C304&lt;=2, "Infant", C304&lt;=11, "Child", C304&lt;=17, "Adolescent", C304&lt;=44, "Young Adult", C304&lt;=64, "Middle Aged", C304&lt;=84,"Young Old", C304&gt;=85,"Oldest Old")</f>
        <v>Middle Aged</v>
      </c>
      <c r="E304" t="s">
        <v>12</v>
      </c>
      <c r="F304" s="4">
        <v>46019</v>
      </c>
      <c r="G304" s="4">
        <v>46024</v>
      </c>
      <c r="H304" s="7">
        <f t="shared" si="12"/>
        <v>5</v>
      </c>
      <c r="I304" t="s">
        <v>13</v>
      </c>
      <c r="J304" t="s">
        <v>102</v>
      </c>
      <c r="K304" s="2">
        <v>10022.5</v>
      </c>
      <c r="L304" s="9">
        <v>0.7</v>
      </c>
      <c r="M304" s="15">
        <f t="shared" si="13"/>
        <v>7015.75</v>
      </c>
      <c r="N304" s="15">
        <f t="shared" si="14"/>
        <v>3006.75</v>
      </c>
      <c r="O304" t="s">
        <v>20</v>
      </c>
    </row>
    <row r="305" spans="1:15" hidden="1" x14ac:dyDescent="0.35">
      <c r="A305" t="s">
        <v>629</v>
      </c>
      <c r="B305" t="s">
        <v>630</v>
      </c>
      <c r="C305">
        <v>57</v>
      </c>
      <c r="D305" s="8" t="str" cm="1">
        <f t="array" ref="D305">_xlfn.IFS(C305&lt;=2, "Infant", C305&lt;=11, "Child", C305&lt;=17, "Adolescent", C305&lt;=44, "Young Adult", C305&lt;=64, "Middle Aged", C305&lt;=84,"Young Old", C305&gt;=85,"Oldest Old")</f>
        <v>Middle Aged</v>
      </c>
      <c r="E305" t="s">
        <v>12</v>
      </c>
      <c r="F305" s="4">
        <v>45342</v>
      </c>
      <c r="G305" s="4">
        <v>45349</v>
      </c>
      <c r="H305" s="7">
        <f t="shared" si="12"/>
        <v>7</v>
      </c>
      <c r="I305" t="s">
        <v>70</v>
      </c>
      <c r="J305" t="s">
        <v>157</v>
      </c>
      <c r="K305" s="2">
        <v>13346.03</v>
      </c>
      <c r="L305" s="9">
        <v>0.6</v>
      </c>
      <c r="M305" s="15">
        <f t="shared" si="13"/>
        <v>8007.6180000000004</v>
      </c>
      <c r="N305" s="15">
        <f t="shared" si="14"/>
        <v>5338.4120000000003</v>
      </c>
      <c r="O305" t="s">
        <v>15</v>
      </c>
    </row>
    <row r="306" spans="1:15" hidden="1" x14ac:dyDescent="0.35">
      <c r="A306" t="s">
        <v>631</v>
      </c>
      <c r="B306" t="s">
        <v>328</v>
      </c>
      <c r="C306">
        <v>67</v>
      </c>
      <c r="D306" s="8" t="str" cm="1">
        <f t="array" ref="D306">_xlfn.IFS(C306&lt;=2, "Infant", C306&lt;=11, "Child", C306&lt;=17, "Adolescent", C306&lt;=44, "Young Adult", C306&lt;=64, "Middle Aged", C306&lt;=84,"Young Old", C306&gt;=85,"Oldest Old")</f>
        <v>Young Old</v>
      </c>
      <c r="E306" t="s">
        <v>18</v>
      </c>
      <c r="F306" s="4">
        <v>45912</v>
      </c>
      <c r="G306" s="4">
        <v>45918</v>
      </c>
      <c r="H306" s="7">
        <f t="shared" si="12"/>
        <v>6</v>
      </c>
      <c r="I306" t="s">
        <v>60</v>
      </c>
      <c r="J306" t="s">
        <v>97</v>
      </c>
      <c r="K306" s="2">
        <v>12949.84</v>
      </c>
      <c r="L306" s="9">
        <v>0.8</v>
      </c>
      <c r="M306" s="15">
        <f t="shared" si="13"/>
        <v>10359.872000000001</v>
      </c>
      <c r="N306" s="15">
        <f t="shared" si="14"/>
        <v>2589.9679999999989</v>
      </c>
      <c r="O306" t="s">
        <v>15</v>
      </c>
    </row>
    <row r="307" spans="1:15" hidden="1" x14ac:dyDescent="0.35">
      <c r="A307" t="s">
        <v>632</v>
      </c>
      <c r="B307" t="s">
        <v>633</v>
      </c>
      <c r="C307">
        <v>76</v>
      </c>
      <c r="D307" s="8" t="str" cm="1">
        <f t="array" ref="D307">_xlfn.IFS(C307&lt;=2, "Infant", C307&lt;=11, "Child", C307&lt;=17, "Adolescent", C307&lt;=44, "Young Adult", C307&lt;=64, "Middle Aged", C307&lt;=84,"Young Old", C307&gt;=85,"Oldest Old")</f>
        <v>Young Old</v>
      </c>
      <c r="E307" t="s">
        <v>18</v>
      </c>
      <c r="F307" s="4">
        <v>45744</v>
      </c>
      <c r="G307" s="4">
        <v>45747</v>
      </c>
      <c r="H307" s="7">
        <f t="shared" si="12"/>
        <v>3</v>
      </c>
      <c r="I307" t="s">
        <v>70</v>
      </c>
      <c r="J307" t="s">
        <v>71</v>
      </c>
      <c r="K307" s="2">
        <v>5780.36</v>
      </c>
      <c r="L307" s="9">
        <v>0.9</v>
      </c>
      <c r="M307" s="15">
        <f t="shared" si="13"/>
        <v>5202.3239999999996</v>
      </c>
      <c r="N307" s="15">
        <f t="shared" si="14"/>
        <v>578.03600000000006</v>
      </c>
      <c r="O307" t="s">
        <v>25</v>
      </c>
    </row>
    <row r="308" spans="1:15" hidden="1" x14ac:dyDescent="0.35">
      <c r="A308" t="s">
        <v>634</v>
      </c>
      <c r="B308" t="s">
        <v>635</v>
      </c>
      <c r="C308">
        <v>25</v>
      </c>
      <c r="D308" s="8" t="str" cm="1">
        <f t="array" ref="D308">_xlfn.IFS(C308&lt;=2, "Infant", C308&lt;=11, "Child", C308&lt;=17, "Adolescent", C308&lt;=44, "Young Adult", C308&lt;=64, "Middle Aged", C308&lt;=84,"Young Old", C308&gt;=85,"Oldest Old")</f>
        <v>Young Adult</v>
      </c>
      <c r="E308" t="s">
        <v>12</v>
      </c>
      <c r="F308" s="4">
        <v>45928</v>
      </c>
      <c r="G308" s="4">
        <v>45937</v>
      </c>
      <c r="H308" s="7">
        <f t="shared" si="12"/>
        <v>9</v>
      </c>
      <c r="I308" t="s">
        <v>60</v>
      </c>
      <c r="J308" t="s">
        <v>97</v>
      </c>
      <c r="K308" s="2">
        <v>12079.5</v>
      </c>
      <c r="L308" s="9">
        <v>0.6</v>
      </c>
      <c r="M308" s="15">
        <f t="shared" si="13"/>
        <v>7247.7</v>
      </c>
      <c r="N308" s="15">
        <f t="shared" si="14"/>
        <v>4831.8</v>
      </c>
      <c r="O308" t="s">
        <v>20</v>
      </c>
    </row>
    <row r="309" spans="1:15" hidden="1" x14ac:dyDescent="0.35">
      <c r="A309" t="s">
        <v>636</v>
      </c>
      <c r="B309" t="s">
        <v>637</v>
      </c>
      <c r="C309">
        <v>40</v>
      </c>
      <c r="D309" s="8" t="str" cm="1">
        <f t="array" ref="D309">_xlfn.IFS(C309&lt;=2, "Infant", C309&lt;=11, "Child", C309&lt;=17, "Adolescent", C309&lt;=44, "Young Adult", C309&lt;=64, "Middle Aged", C309&lt;=84,"Young Old", C309&gt;=85,"Oldest Old")</f>
        <v>Young Adult</v>
      </c>
      <c r="E309" t="s">
        <v>12</v>
      </c>
      <c r="F309" s="4">
        <v>45615</v>
      </c>
      <c r="G309" s="4">
        <v>45622</v>
      </c>
      <c r="H309" s="7">
        <f t="shared" si="12"/>
        <v>7</v>
      </c>
      <c r="I309" t="s">
        <v>31</v>
      </c>
      <c r="J309" t="s">
        <v>53</v>
      </c>
      <c r="K309" s="2">
        <v>7389.52</v>
      </c>
      <c r="L309" s="9">
        <v>0.8</v>
      </c>
      <c r="M309" s="15">
        <f t="shared" si="13"/>
        <v>5911.6160000000009</v>
      </c>
      <c r="N309" s="15">
        <f t="shared" si="14"/>
        <v>1477.9039999999995</v>
      </c>
      <c r="O309" t="s">
        <v>20</v>
      </c>
    </row>
    <row r="310" spans="1:15" hidden="1" x14ac:dyDescent="0.35">
      <c r="A310" t="s">
        <v>638</v>
      </c>
      <c r="B310" t="s">
        <v>639</v>
      </c>
      <c r="C310">
        <v>78</v>
      </c>
      <c r="D310" s="8" t="str" cm="1">
        <f t="array" ref="D310">_xlfn.IFS(C310&lt;=2, "Infant", C310&lt;=11, "Child", C310&lt;=17, "Adolescent", C310&lt;=44, "Young Adult", C310&lt;=64, "Middle Aged", C310&lt;=84,"Young Old", C310&gt;=85,"Oldest Old")</f>
        <v>Young Old</v>
      </c>
      <c r="E310" t="s">
        <v>12</v>
      </c>
      <c r="F310" s="4">
        <v>45888</v>
      </c>
      <c r="G310" s="4">
        <v>45891</v>
      </c>
      <c r="H310" s="7">
        <f t="shared" si="12"/>
        <v>3</v>
      </c>
      <c r="I310" t="s">
        <v>13</v>
      </c>
      <c r="J310" t="s">
        <v>14</v>
      </c>
      <c r="K310" s="2">
        <v>5108.6400000000003</v>
      </c>
      <c r="L310" s="9">
        <v>0.6</v>
      </c>
      <c r="M310" s="15">
        <f t="shared" si="13"/>
        <v>3065.1840000000002</v>
      </c>
      <c r="N310" s="15">
        <f t="shared" si="14"/>
        <v>2043.4560000000001</v>
      </c>
      <c r="O310" t="s">
        <v>20</v>
      </c>
    </row>
    <row r="311" spans="1:15" hidden="1" x14ac:dyDescent="0.35">
      <c r="A311" t="s">
        <v>640</v>
      </c>
      <c r="B311" t="s">
        <v>641</v>
      </c>
      <c r="C311">
        <v>30</v>
      </c>
      <c r="D311" s="8" t="str" cm="1">
        <f t="array" ref="D311">_xlfn.IFS(C311&lt;=2, "Infant", C311&lt;=11, "Child", C311&lt;=17, "Adolescent", C311&lt;=44, "Young Adult", C311&lt;=64, "Middle Aged", C311&lt;=84,"Young Old", C311&gt;=85,"Oldest Old")</f>
        <v>Young Adult</v>
      </c>
      <c r="E311" t="s">
        <v>12</v>
      </c>
      <c r="F311" s="4">
        <v>45436</v>
      </c>
      <c r="G311" s="4">
        <v>45438</v>
      </c>
      <c r="H311" s="7">
        <f t="shared" si="12"/>
        <v>2</v>
      </c>
      <c r="I311" t="s">
        <v>23</v>
      </c>
      <c r="J311" t="s">
        <v>41</v>
      </c>
      <c r="K311" s="2">
        <v>3176.54</v>
      </c>
      <c r="L311" s="9">
        <v>0.8</v>
      </c>
      <c r="M311" s="15">
        <f t="shared" si="13"/>
        <v>2541.232</v>
      </c>
      <c r="N311" s="15">
        <f t="shared" si="14"/>
        <v>635.30799999999999</v>
      </c>
      <c r="O311" t="s">
        <v>15</v>
      </c>
    </row>
    <row r="312" spans="1:15" hidden="1" x14ac:dyDescent="0.35">
      <c r="A312" t="s">
        <v>642</v>
      </c>
      <c r="B312" t="s">
        <v>643</v>
      </c>
      <c r="C312">
        <v>54</v>
      </c>
      <c r="D312" s="8" t="str" cm="1">
        <f t="array" ref="D312">_xlfn.IFS(C312&lt;=2, "Infant", C312&lt;=11, "Child", C312&lt;=17, "Adolescent", C312&lt;=44, "Young Adult", C312&lt;=64, "Middle Aged", C312&lt;=84,"Young Old", C312&gt;=85,"Oldest Old")</f>
        <v>Middle Aged</v>
      </c>
      <c r="E312" t="s">
        <v>12</v>
      </c>
      <c r="F312" s="4">
        <v>45544</v>
      </c>
      <c r="G312" s="4">
        <v>45552</v>
      </c>
      <c r="H312" s="7">
        <f t="shared" si="12"/>
        <v>8</v>
      </c>
      <c r="I312" t="s">
        <v>60</v>
      </c>
      <c r="J312" t="s">
        <v>133</v>
      </c>
      <c r="K312" s="2">
        <v>17049.400000000001</v>
      </c>
      <c r="L312" s="9">
        <v>1</v>
      </c>
      <c r="M312" s="15">
        <f t="shared" si="13"/>
        <v>17049.400000000001</v>
      </c>
      <c r="N312" s="15">
        <f t="shared" si="14"/>
        <v>0</v>
      </c>
      <c r="O312" t="s">
        <v>25</v>
      </c>
    </row>
    <row r="313" spans="1:15" hidden="1" x14ac:dyDescent="0.35">
      <c r="A313" t="s">
        <v>644</v>
      </c>
      <c r="B313" t="s">
        <v>645</v>
      </c>
      <c r="C313">
        <v>67</v>
      </c>
      <c r="D313" s="8" t="str" cm="1">
        <f t="array" ref="D313">_xlfn.IFS(C313&lt;=2, "Infant", C313&lt;=11, "Child", C313&lt;=17, "Adolescent", C313&lt;=44, "Young Adult", C313&lt;=64, "Middle Aged", C313&lt;=84,"Young Old", C313&gt;=85,"Oldest Old")</f>
        <v>Young Old</v>
      </c>
      <c r="E313" t="s">
        <v>18</v>
      </c>
      <c r="F313" s="4">
        <v>45969</v>
      </c>
      <c r="G313" s="4">
        <v>45970</v>
      </c>
      <c r="H313" s="7">
        <f t="shared" si="12"/>
        <v>1</v>
      </c>
      <c r="I313" t="s">
        <v>23</v>
      </c>
      <c r="J313" t="s">
        <v>333</v>
      </c>
      <c r="K313" s="2">
        <v>1997.86</v>
      </c>
      <c r="L313" s="9">
        <v>0.7</v>
      </c>
      <c r="M313" s="15">
        <f t="shared" si="13"/>
        <v>1398.502</v>
      </c>
      <c r="N313" s="15">
        <f t="shared" si="14"/>
        <v>599.35799999999995</v>
      </c>
      <c r="O313" t="s">
        <v>15</v>
      </c>
    </row>
    <row r="314" spans="1:15" hidden="1" x14ac:dyDescent="0.35">
      <c r="A314" t="s">
        <v>646</v>
      </c>
      <c r="B314" t="s">
        <v>647</v>
      </c>
      <c r="C314">
        <v>43</v>
      </c>
      <c r="D314" s="8" t="str" cm="1">
        <f t="array" ref="D314">_xlfn.IFS(C314&lt;=2, "Infant", C314&lt;=11, "Child", C314&lt;=17, "Adolescent", C314&lt;=44, "Young Adult", C314&lt;=64, "Middle Aged", C314&lt;=84,"Young Old", C314&gt;=85,"Oldest Old")</f>
        <v>Young Adult</v>
      </c>
      <c r="E314" t="s">
        <v>12</v>
      </c>
      <c r="F314" s="4">
        <v>45519</v>
      </c>
      <c r="G314" s="4">
        <v>45523</v>
      </c>
      <c r="H314" s="7">
        <f t="shared" si="12"/>
        <v>4</v>
      </c>
      <c r="I314" t="s">
        <v>31</v>
      </c>
      <c r="J314" t="s">
        <v>44</v>
      </c>
      <c r="K314" s="2">
        <v>4991.59</v>
      </c>
      <c r="L314" s="9">
        <v>0</v>
      </c>
      <c r="M314" s="15">
        <f t="shared" si="13"/>
        <v>0</v>
      </c>
      <c r="N314" s="15">
        <f t="shared" si="14"/>
        <v>4991.59</v>
      </c>
      <c r="O314" t="s">
        <v>25</v>
      </c>
    </row>
    <row r="315" spans="1:15" hidden="1" x14ac:dyDescent="0.35">
      <c r="A315" t="s">
        <v>648</v>
      </c>
      <c r="B315" t="s">
        <v>649</v>
      </c>
      <c r="C315">
        <v>70</v>
      </c>
      <c r="D315" s="8" t="str" cm="1">
        <f t="array" ref="D315">_xlfn.IFS(C315&lt;=2, "Infant", C315&lt;=11, "Child", C315&lt;=17, "Adolescent", C315&lt;=44, "Young Adult", C315&lt;=64, "Middle Aged", C315&lt;=84,"Young Old", C315&gt;=85,"Oldest Old")</f>
        <v>Young Old</v>
      </c>
      <c r="E315" t="s">
        <v>18</v>
      </c>
      <c r="F315" s="4">
        <v>45524</v>
      </c>
      <c r="G315" s="4">
        <v>45533</v>
      </c>
      <c r="H315" s="7">
        <f t="shared" si="12"/>
        <v>9</v>
      </c>
      <c r="I315" t="s">
        <v>70</v>
      </c>
      <c r="J315" t="s">
        <v>157</v>
      </c>
      <c r="K315" s="2">
        <v>17095.62</v>
      </c>
      <c r="L315" s="9">
        <v>0.9</v>
      </c>
      <c r="M315" s="15">
        <f t="shared" si="13"/>
        <v>15386.057999999999</v>
      </c>
      <c r="N315" s="15">
        <f t="shared" si="14"/>
        <v>1709.5619999999999</v>
      </c>
      <c r="O315" t="s">
        <v>15</v>
      </c>
    </row>
    <row r="316" spans="1:15" hidden="1" x14ac:dyDescent="0.35">
      <c r="A316" t="s">
        <v>650</v>
      </c>
      <c r="B316" t="s">
        <v>651</v>
      </c>
      <c r="C316">
        <v>64</v>
      </c>
      <c r="D316" s="8" t="str" cm="1">
        <f t="array" ref="D316">_xlfn.IFS(C316&lt;=2, "Infant", C316&lt;=11, "Child", C316&lt;=17, "Adolescent", C316&lt;=44, "Young Adult", C316&lt;=64, "Middle Aged", C316&lt;=84,"Young Old", C316&gt;=85,"Oldest Old")</f>
        <v>Middle Aged</v>
      </c>
      <c r="E316" t="s">
        <v>12</v>
      </c>
      <c r="F316" s="4">
        <v>45887</v>
      </c>
      <c r="G316" s="4">
        <v>45889</v>
      </c>
      <c r="H316" s="7">
        <f t="shared" si="12"/>
        <v>2</v>
      </c>
      <c r="I316" t="s">
        <v>23</v>
      </c>
      <c r="J316" t="s">
        <v>204</v>
      </c>
      <c r="K316" s="2">
        <v>4730.04</v>
      </c>
      <c r="L316" s="9">
        <v>0.8</v>
      </c>
      <c r="M316" s="15">
        <f t="shared" si="13"/>
        <v>3784.0320000000002</v>
      </c>
      <c r="N316" s="15">
        <f t="shared" si="14"/>
        <v>946.00799999999981</v>
      </c>
      <c r="O316" t="s">
        <v>15</v>
      </c>
    </row>
    <row r="317" spans="1:15" x14ac:dyDescent="0.35">
      <c r="A317" t="s">
        <v>652</v>
      </c>
      <c r="B317" t="s">
        <v>525</v>
      </c>
      <c r="C317">
        <v>56</v>
      </c>
      <c r="D317" s="8" t="str" cm="1">
        <f t="array" ref="D317">_xlfn.IFS(C317&lt;=2, "Infant", C317&lt;=11, "Child", C317&lt;=17, "Adolescent", C317&lt;=44, "Young Adult", C317&lt;=64, "Middle Aged", C317&lt;=84,"Young Old", C317&gt;=85,"Oldest Old")</f>
        <v>Middle Aged</v>
      </c>
      <c r="E317" t="s">
        <v>12</v>
      </c>
      <c r="F317" s="4">
        <v>45559</v>
      </c>
      <c r="G317" s="4">
        <v>45566</v>
      </c>
      <c r="H317" s="7">
        <f t="shared" si="12"/>
        <v>7</v>
      </c>
      <c r="I317" t="s">
        <v>31</v>
      </c>
      <c r="J317" t="s">
        <v>32</v>
      </c>
      <c r="K317" s="2">
        <v>10303.59</v>
      </c>
      <c r="L317" s="9">
        <v>0.7</v>
      </c>
      <c r="M317" s="15">
        <f t="shared" si="13"/>
        <v>7212.5129999999999</v>
      </c>
      <c r="N317" s="15">
        <f t="shared" si="14"/>
        <v>3091.0770000000002</v>
      </c>
      <c r="O317" t="s">
        <v>20</v>
      </c>
    </row>
    <row r="318" spans="1:15" hidden="1" x14ac:dyDescent="0.35">
      <c r="A318" t="s">
        <v>653</v>
      </c>
      <c r="B318" t="s">
        <v>654</v>
      </c>
      <c r="C318">
        <v>56</v>
      </c>
      <c r="D318" s="8" t="str" cm="1">
        <f t="array" ref="D318">_xlfn.IFS(C318&lt;=2, "Infant", C318&lt;=11, "Child", C318&lt;=17, "Adolescent", C318&lt;=44, "Young Adult", C318&lt;=64, "Middle Aged", C318&lt;=84,"Young Old", C318&gt;=85,"Oldest Old")</f>
        <v>Middle Aged</v>
      </c>
      <c r="E318" t="s">
        <v>12</v>
      </c>
      <c r="F318" s="4">
        <v>45447</v>
      </c>
      <c r="G318" s="4">
        <v>45453</v>
      </c>
      <c r="H318" s="7">
        <f t="shared" si="12"/>
        <v>6</v>
      </c>
      <c r="I318" t="s">
        <v>31</v>
      </c>
      <c r="J318" t="s">
        <v>114</v>
      </c>
      <c r="K318" s="2">
        <v>7120.81</v>
      </c>
      <c r="L318" s="9">
        <v>0.8</v>
      </c>
      <c r="M318" s="15">
        <f t="shared" si="13"/>
        <v>5696.648000000001</v>
      </c>
      <c r="N318" s="15">
        <f t="shared" si="14"/>
        <v>1424.1619999999994</v>
      </c>
      <c r="O318" t="s">
        <v>25</v>
      </c>
    </row>
    <row r="319" spans="1:15" hidden="1" x14ac:dyDescent="0.35">
      <c r="A319" t="s">
        <v>655</v>
      </c>
      <c r="B319" t="s">
        <v>651</v>
      </c>
      <c r="C319">
        <v>38</v>
      </c>
      <c r="D319" s="8" t="str" cm="1">
        <f t="array" ref="D319">_xlfn.IFS(C319&lt;=2, "Infant", C319&lt;=11, "Child", C319&lt;=17, "Adolescent", C319&lt;=44, "Young Adult", C319&lt;=64, "Middle Aged", C319&lt;=84,"Young Old", C319&gt;=85,"Oldest Old")</f>
        <v>Young Adult</v>
      </c>
      <c r="E319" t="s">
        <v>12</v>
      </c>
      <c r="F319" s="4">
        <v>45850</v>
      </c>
      <c r="G319" s="4">
        <v>45851</v>
      </c>
      <c r="H319" s="7">
        <f t="shared" si="12"/>
        <v>1</v>
      </c>
      <c r="I319" t="s">
        <v>23</v>
      </c>
      <c r="J319" t="s">
        <v>41</v>
      </c>
      <c r="K319" s="2">
        <v>1418.29</v>
      </c>
      <c r="L319" s="9">
        <v>0.8</v>
      </c>
      <c r="M319" s="15">
        <f t="shared" si="13"/>
        <v>1134.6320000000001</v>
      </c>
      <c r="N319" s="15">
        <f t="shared" si="14"/>
        <v>283.6579999999999</v>
      </c>
      <c r="O319" t="s">
        <v>15</v>
      </c>
    </row>
    <row r="320" spans="1:15" hidden="1" x14ac:dyDescent="0.35">
      <c r="A320" t="s">
        <v>656</v>
      </c>
      <c r="B320" t="s">
        <v>657</v>
      </c>
      <c r="C320">
        <v>77</v>
      </c>
      <c r="D320" s="8" t="str" cm="1">
        <f t="array" ref="D320">_xlfn.IFS(C320&lt;=2, "Infant", C320&lt;=11, "Child", C320&lt;=17, "Adolescent", C320&lt;=44, "Young Adult", C320&lt;=64, "Middle Aged", C320&lt;=84,"Young Old", C320&gt;=85,"Oldest Old")</f>
        <v>Young Old</v>
      </c>
      <c r="E320" t="s">
        <v>12</v>
      </c>
      <c r="F320" s="4">
        <v>45405</v>
      </c>
      <c r="G320" s="4">
        <v>45408</v>
      </c>
      <c r="H320" s="7">
        <f t="shared" si="12"/>
        <v>3</v>
      </c>
      <c r="I320" t="s">
        <v>23</v>
      </c>
      <c r="J320" t="s">
        <v>221</v>
      </c>
      <c r="K320" s="2">
        <v>4818.3999999999996</v>
      </c>
      <c r="L320" s="9">
        <v>0.6</v>
      </c>
      <c r="M320" s="15">
        <f t="shared" si="13"/>
        <v>2891.0399999999995</v>
      </c>
      <c r="N320" s="15">
        <f t="shared" si="14"/>
        <v>1927.3600000000001</v>
      </c>
      <c r="O320" t="s">
        <v>15</v>
      </c>
    </row>
    <row r="321" spans="1:15" hidden="1" x14ac:dyDescent="0.35">
      <c r="A321" t="s">
        <v>658</v>
      </c>
      <c r="B321" t="s">
        <v>146</v>
      </c>
      <c r="C321">
        <v>51</v>
      </c>
      <c r="D321" s="8" t="str" cm="1">
        <f t="array" ref="D321">_xlfn.IFS(C321&lt;=2, "Infant", C321&lt;=11, "Child", C321&lt;=17, "Adolescent", C321&lt;=44, "Young Adult", C321&lt;=64, "Middle Aged", C321&lt;=84,"Young Old", C321&gt;=85,"Oldest Old")</f>
        <v>Middle Aged</v>
      </c>
      <c r="E321" t="s">
        <v>12</v>
      </c>
      <c r="F321" s="4">
        <v>45343</v>
      </c>
      <c r="G321" s="4">
        <v>45344</v>
      </c>
      <c r="H321" s="7">
        <f t="shared" si="12"/>
        <v>1</v>
      </c>
      <c r="I321" t="s">
        <v>23</v>
      </c>
      <c r="J321" t="s">
        <v>24</v>
      </c>
      <c r="K321" s="2">
        <v>1333.29</v>
      </c>
      <c r="L321" s="9">
        <v>0.7</v>
      </c>
      <c r="M321" s="15">
        <f t="shared" si="13"/>
        <v>933.30299999999988</v>
      </c>
      <c r="N321" s="15">
        <f t="shared" si="14"/>
        <v>399.98700000000008</v>
      </c>
      <c r="O321" t="s">
        <v>15</v>
      </c>
    </row>
    <row r="322" spans="1:15" hidden="1" x14ac:dyDescent="0.35">
      <c r="A322" t="s">
        <v>659</v>
      </c>
      <c r="B322" t="s">
        <v>660</v>
      </c>
      <c r="C322">
        <v>34</v>
      </c>
      <c r="D322" s="8" t="str" cm="1">
        <f t="array" ref="D322">_xlfn.IFS(C322&lt;=2, "Infant", C322&lt;=11, "Child", C322&lt;=17, "Adolescent", C322&lt;=44, "Young Adult", C322&lt;=64, "Middle Aged", C322&lt;=84,"Young Old", C322&gt;=85,"Oldest Old")</f>
        <v>Young Adult</v>
      </c>
      <c r="E322" t="s">
        <v>18</v>
      </c>
      <c r="F322" s="4">
        <v>45743</v>
      </c>
      <c r="G322" s="4">
        <v>45744</v>
      </c>
      <c r="H322" s="7">
        <f t="shared" si="12"/>
        <v>1</v>
      </c>
      <c r="I322" t="s">
        <v>23</v>
      </c>
      <c r="J322" t="s">
        <v>221</v>
      </c>
      <c r="K322" s="2">
        <v>1437.43</v>
      </c>
      <c r="L322" s="9">
        <v>1</v>
      </c>
      <c r="M322" s="15">
        <f t="shared" si="13"/>
        <v>1437.43</v>
      </c>
      <c r="N322" s="15">
        <f t="shared" si="14"/>
        <v>0</v>
      </c>
      <c r="O322" t="s">
        <v>15</v>
      </c>
    </row>
    <row r="323" spans="1:15" hidden="1" x14ac:dyDescent="0.35">
      <c r="A323" t="s">
        <v>661</v>
      </c>
      <c r="B323" t="s">
        <v>662</v>
      </c>
      <c r="C323">
        <v>64</v>
      </c>
      <c r="D323" s="8" t="str" cm="1">
        <f t="array" ref="D323">_xlfn.IFS(C323&lt;=2, "Infant", C323&lt;=11, "Child", C323&lt;=17, "Adolescent", C323&lt;=44, "Young Adult", C323&lt;=64, "Middle Aged", C323&lt;=84,"Young Old", C323&gt;=85,"Oldest Old")</f>
        <v>Middle Aged</v>
      </c>
      <c r="E323" t="s">
        <v>12</v>
      </c>
      <c r="F323" s="4">
        <v>45819</v>
      </c>
      <c r="G323" s="4">
        <v>45822</v>
      </c>
      <c r="H323" s="7">
        <f t="shared" ref="H323:H386" si="15">DATEDIF(F323,G323,"D")</f>
        <v>3</v>
      </c>
      <c r="I323" t="s">
        <v>31</v>
      </c>
      <c r="J323" t="s">
        <v>87</v>
      </c>
      <c r="K323" s="2">
        <v>2608.29</v>
      </c>
      <c r="L323" s="9">
        <v>0</v>
      </c>
      <c r="M323" s="15">
        <f t="shared" ref="M323:M386" si="16">L323*K323</f>
        <v>0</v>
      </c>
      <c r="N323" s="15">
        <f t="shared" ref="N323:N386" si="17">K323-M323</f>
        <v>2608.29</v>
      </c>
      <c r="O323" t="s">
        <v>15</v>
      </c>
    </row>
    <row r="324" spans="1:15" hidden="1" x14ac:dyDescent="0.35">
      <c r="A324" t="s">
        <v>663</v>
      </c>
      <c r="B324" t="s">
        <v>664</v>
      </c>
      <c r="C324">
        <v>8</v>
      </c>
      <c r="D324" s="8" t="str" cm="1">
        <f t="array" ref="D324">_xlfn.IFS(C324&lt;=2, "Infant", C324&lt;=11, "Child", C324&lt;=17, "Adolescent", C324&lt;=44, "Young Adult", C324&lt;=64, "Middle Aged", C324&lt;=84,"Young Old", C324&gt;=85,"Oldest Old")</f>
        <v>Child</v>
      </c>
      <c r="E324" t="s">
        <v>18</v>
      </c>
      <c r="F324" s="4">
        <v>45426</v>
      </c>
      <c r="G324" s="4">
        <v>45430</v>
      </c>
      <c r="H324" s="7">
        <f t="shared" si="15"/>
        <v>4</v>
      </c>
      <c r="I324" t="s">
        <v>49</v>
      </c>
      <c r="J324" t="s">
        <v>130</v>
      </c>
      <c r="K324" s="2">
        <v>6107.32</v>
      </c>
      <c r="L324" s="9">
        <v>0.8</v>
      </c>
      <c r="M324" s="15">
        <f t="shared" si="16"/>
        <v>4885.8559999999998</v>
      </c>
      <c r="N324" s="15">
        <f t="shared" si="17"/>
        <v>1221.4639999999999</v>
      </c>
      <c r="O324" t="s">
        <v>15</v>
      </c>
    </row>
    <row r="325" spans="1:15" hidden="1" x14ac:dyDescent="0.35">
      <c r="A325" t="s">
        <v>665</v>
      </c>
      <c r="B325" t="s">
        <v>666</v>
      </c>
      <c r="C325">
        <v>5</v>
      </c>
      <c r="D325" s="8" t="str" cm="1">
        <f t="array" ref="D325">_xlfn.IFS(C325&lt;=2, "Infant", C325&lt;=11, "Child", C325&lt;=17, "Adolescent", C325&lt;=44, "Young Adult", C325&lt;=64, "Middle Aged", C325&lt;=84,"Young Old", C325&gt;=85,"Oldest Old")</f>
        <v>Child</v>
      </c>
      <c r="E325" t="s">
        <v>18</v>
      </c>
      <c r="F325" s="4">
        <v>45359</v>
      </c>
      <c r="G325" s="4">
        <v>45360</v>
      </c>
      <c r="H325" s="7">
        <f t="shared" si="15"/>
        <v>1</v>
      </c>
      <c r="I325" t="s">
        <v>49</v>
      </c>
      <c r="J325" t="s">
        <v>120</v>
      </c>
      <c r="K325" s="2">
        <v>763.74</v>
      </c>
      <c r="L325" s="9">
        <v>0.9</v>
      </c>
      <c r="M325" s="15">
        <f t="shared" si="16"/>
        <v>687.36599999999999</v>
      </c>
      <c r="N325" s="15">
        <f t="shared" si="17"/>
        <v>76.374000000000024</v>
      </c>
      <c r="O325" t="s">
        <v>20</v>
      </c>
    </row>
    <row r="326" spans="1:15" hidden="1" x14ac:dyDescent="0.35">
      <c r="A326" t="s">
        <v>667</v>
      </c>
      <c r="B326" t="s">
        <v>668</v>
      </c>
      <c r="C326">
        <v>3</v>
      </c>
      <c r="D326" s="8" t="str" cm="1">
        <f t="array" ref="D326">_xlfn.IFS(C326&lt;=2, "Infant", C326&lt;=11, "Child", C326&lt;=17, "Adolescent", C326&lt;=44, "Young Adult", C326&lt;=64, "Middle Aged", C326&lt;=84,"Young Old", C326&gt;=85,"Oldest Old")</f>
        <v>Child</v>
      </c>
      <c r="E326" t="s">
        <v>18</v>
      </c>
      <c r="F326" s="4">
        <v>45833</v>
      </c>
      <c r="G326" s="4">
        <v>45838</v>
      </c>
      <c r="H326" s="7">
        <f t="shared" si="15"/>
        <v>5</v>
      </c>
      <c r="I326" t="s">
        <v>49</v>
      </c>
      <c r="J326" t="s">
        <v>123</v>
      </c>
      <c r="K326" s="2">
        <v>8208.35</v>
      </c>
      <c r="L326" s="9">
        <v>0</v>
      </c>
      <c r="M326" s="15">
        <f t="shared" si="16"/>
        <v>0</v>
      </c>
      <c r="N326" s="15">
        <f t="shared" si="17"/>
        <v>8208.35</v>
      </c>
      <c r="O326" t="s">
        <v>25</v>
      </c>
    </row>
    <row r="327" spans="1:15" hidden="1" x14ac:dyDescent="0.35">
      <c r="A327" t="s">
        <v>669</v>
      </c>
      <c r="B327" t="s">
        <v>670</v>
      </c>
      <c r="C327">
        <v>26</v>
      </c>
      <c r="D327" s="8" t="str" cm="1">
        <f t="array" ref="D327">_xlfn.IFS(C327&lt;=2, "Infant", C327&lt;=11, "Child", C327&lt;=17, "Adolescent", C327&lt;=44, "Young Adult", C327&lt;=64, "Middle Aged", C327&lt;=84,"Young Old", C327&gt;=85,"Oldest Old")</f>
        <v>Young Adult</v>
      </c>
      <c r="E327" t="s">
        <v>18</v>
      </c>
      <c r="F327" s="4">
        <v>45484</v>
      </c>
      <c r="G327" s="4">
        <v>45498</v>
      </c>
      <c r="H327" s="7">
        <f t="shared" si="15"/>
        <v>14</v>
      </c>
      <c r="I327" t="s">
        <v>60</v>
      </c>
      <c r="J327" t="s">
        <v>133</v>
      </c>
      <c r="K327" s="2">
        <v>20575.84</v>
      </c>
      <c r="L327" s="9">
        <v>0.8</v>
      </c>
      <c r="M327" s="15">
        <f t="shared" si="16"/>
        <v>16460.672000000002</v>
      </c>
      <c r="N327" s="15">
        <f t="shared" si="17"/>
        <v>4115.1679999999978</v>
      </c>
      <c r="O327" t="s">
        <v>20</v>
      </c>
    </row>
    <row r="328" spans="1:15" hidden="1" x14ac:dyDescent="0.35">
      <c r="A328" t="s">
        <v>671</v>
      </c>
      <c r="B328" t="s">
        <v>672</v>
      </c>
      <c r="C328">
        <v>1</v>
      </c>
      <c r="D328" s="8" t="str" cm="1">
        <f t="array" ref="D328">_xlfn.IFS(C328&lt;=2, "Infant", C328&lt;=11, "Child", C328&lt;=17, "Adolescent", C328&lt;=44, "Young Adult", C328&lt;=64, "Middle Aged", C328&lt;=84,"Young Old", C328&gt;=85,"Oldest Old")</f>
        <v>Infant</v>
      </c>
      <c r="E328" t="s">
        <v>12</v>
      </c>
      <c r="F328" s="4">
        <v>45863</v>
      </c>
      <c r="G328" s="4">
        <v>45866</v>
      </c>
      <c r="H328" s="7">
        <f t="shared" si="15"/>
        <v>3</v>
      </c>
      <c r="I328" t="s">
        <v>49</v>
      </c>
      <c r="J328" t="s">
        <v>117</v>
      </c>
      <c r="K328" s="2">
        <v>5295.19</v>
      </c>
      <c r="L328" s="9">
        <v>0.9</v>
      </c>
      <c r="M328" s="15">
        <f t="shared" si="16"/>
        <v>4765.6709999999994</v>
      </c>
      <c r="N328" s="15">
        <f t="shared" si="17"/>
        <v>529.51900000000023</v>
      </c>
      <c r="O328" t="s">
        <v>15</v>
      </c>
    </row>
    <row r="329" spans="1:15" hidden="1" x14ac:dyDescent="0.35">
      <c r="A329" t="s">
        <v>673</v>
      </c>
      <c r="B329" t="s">
        <v>674</v>
      </c>
      <c r="C329">
        <v>35</v>
      </c>
      <c r="D329" s="8" t="str" cm="1">
        <f t="array" ref="D329">_xlfn.IFS(C329&lt;=2, "Infant", C329&lt;=11, "Child", C329&lt;=17, "Adolescent", C329&lt;=44, "Young Adult", C329&lt;=64, "Middle Aged", C329&lt;=84,"Young Old", C329&gt;=85,"Oldest Old")</f>
        <v>Young Adult</v>
      </c>
      <c r="E329" t="s">
        <v>18</v>
      </c>
      <c r="F329" s="4">
        <v>45973</v>
      </c>
      <c r="G329" s="4">
        <v>45982</v>
      </c>
      <c r="H329" s="7">
        <f t="shared" si="15"/>
        <v>9</v>
      </c>
      <c r="I329" t="s">
        <v>60</v>
      </c>
      <c r="J329" t="s">
        <v>74</v>
      </c>
      <c r="K329" s="2">
        <v>23024.560000000001</v>
      </c>
      <c r="L329" s="9">
        <v>0.7</v>
      </c>
      <c r="M329" s="15">
        <f t="shared" si="16"/>
        <v>16117.191999999999</v>
      </c>
      <c r="N329" s="15">
        <f t="shared" si="17"/>
        <v>6907.3680000000022</v>
      </c>
      <c r="O329" t="s">
        <v>20</v>
      </c>
    </row>
    <row r="330" spans="1:15" hidden="1" x14ac:dyDescent="0.35">
      <c r="A330" t="s">
        <v>675</v>
      </c>
      <c r="B330" t="s">
        <v>433</v>
      </c>
      <c r="C330">
        <v>33</v>
      </c>
      <c r="D330" s="8" t="str" cm="1">
        <f t="array" ref="D330">_xlfn.IFS(C330&lt;=2, "Infant", C330&lt;=11, "Child", C330&lt;=17, "Adolescent", C330&lt;=44, "Young Adult", C330&lt;=64, "Middle Aged", C330&lt;=84,"Young Old", C330&gt;=85,"Oldest Old")</f>
        <v>Young Adult</v>
      </c>
      <c r="E330" t="s">
        <v>18</v>
      </c>
      <c r="F330" s="4">
        <v>45782</v>
      </c>
      <c r="G330" s="4">
        <v>45785</v>
      </c>
      <c r="H330" s="7">
        <f t="shared" si="15"/>
        <v>3</v>
      </c>
      <c r="I330" t="s">
        <v>23</v>
      </c>
      <c r="J330" t="s">
        <v>333</v>
      </c>
      <c r="K330" s="2">
        <v>7452.68</v>
      </c>
      <c r="L330" s="9">
        <v>0.7</v>
      </c>
      <c r="M330" s="15">
        <f t="shared" si="16"/>
        <v>5216.8760000000002</v>
      </c>
      <c r="N330" s="15">
        <f t="shared" si="17"/>
        <v>2235.8040000000001</v>
      </c>
      <c r="O330" t="s">
        <v>15</v>
      </c>
    </row>
    <row r="331" spans="1:15" hidden="1" x14ac:dyDescent="0.35">
      <c r="A331" t="s">
        <v>676</v>
      </c>
      <c r="B331" t="s">
        <v>196</v>
      </c>
      <c r="C331">
        <v>80</v>
      </c>
      <c r="D331" s="8" t="str" cm="1">
        <f t="array" ref="D331">_xlfn.IFS(C331&lt;=2, "Infant", C331&lt;=11, "Child", C331&lt;=17, "Adolescent", C331&lt;=44, "Young Adult", C331&lt;=64, "Middle Aged", C331&lt;=84,"Young Old", C331&gt;=85,"Oldest Old")</f>
        <v>Young Old</v>
      </c>
      <c r="E331" t="s">
        <v>12</v>
      </c>
      <c r="F331" s="4">
        <v>45354</v>
      </c>
      <c r="G331" s="4">
        <v>45362</v>
      </c>
      <c r="H331" s="7">
        <f t="shared" si="15"/>
        <v>8</v>
      </c>
      <c r="I331" t="s">
        <v>70</v>
      </c>
      <c r="J331" t="s">
        <v>237</v>
      </c>
      <c r="K331" s="2">
        <v>10908.13</v>
      </c>
      <c r="L331" s="9">
        <v>0.6</v>
      </c>
      <c r="M331" s="15">
        <f t="shared" si="16"/>
        <v>6544.8779999999997</v>
      </c>
      <c r="N331" s="15">
        <f t="shared" si="17"/>
        <v>4363.2519999999995</v>
      </c>
      <c r="O331" t="s">
        <v>15</v>
      </c>
    </row>
    <row r="332" spans="1:15" hidden="1" x14ac:dyDescent="0.35">
      <c r="A332" t="s">
        <v>677</v>
      </c>
      <c r="B332" t="s">
        <v>46</v>
      </c>
      <c r="C332">
        <v>27</v>
      </c>
      <c r="D332" s="8" t="str" cm="1">
        <f t="array" ref="D332">_xlfn.IFS(C332&lt;=2, "Infant", C332&lt;=11, "Child", C332&lt;=17, "Adolescent", C332&lt;=44, "Young Adult", C332&lt;=64, "Middle Aged", C332&lt;=84,"Young Old", C332&gt;=85,"Oldest Old")</f>
        <v>Young Adult</v>
      </c>
      <c r="E332" t="s">
        <v>12</v>
      </c>
      <c r="F332" s="4">
        <v>45405</v>
      </c>
      <c r="G332" s="4">
        <v>45411</v>
      </c>
      <c r="H332" s="7">
        <f t="shared" si="15"/>
        <v>6</v>
      </c>
      <c r="I332" t="s">
        <v>31</v>
      </c>
      <c r="J332" t="s">
        <v>114</v>
      </c>
      <c r="K332" s="2">
        <v>7501.37</v>
      </c>
      <c r="L332" s="9">
        <v>0.7</v>
      </c>
      <c r="M332" s="15">
        <f t="shared" si="16"/>
        <v>5250.9589999999998</v>
      </c>
      <c r="N332" s="15">
        <f t="shared" si="17"/>
        <v>2250.4110000000001</v>
      </c>
      <c r="O332" t="s">
        <v>25</v>
      </c>
    </row>
    <row r="333" spans="1:15" hidden="1" x14ac:dyDescent="0.35">
      <c r="A333" t="s">
        <v>678</v>
      </c>
      <c r="B333" t="s">
        <v>300</v>
      </c>
      <c r="C333">
        <v>61</v>
      </c>
      <c r="D333" s="8" t="str" cm="1">
        <f t="array" ref="D333">_xlfn.IFS(C333&lt;=2, "Infant", C333&lt;=11, "Child", C333&lt;=17, "Adolescent", C333&lt;=44, "Young Adult", C333&lt;=64, "Middle Aged", C333&lt;=84,"Young Old", C333&gt;=85,"Oldest Old")</f>
        <v>Middle Aged</v>
      </c>
      <c r="E333" t="s">
        <v>18</v>
      </c>
      <c r="F333" s="4">
        <v>45771</v>
      </c>
      <c r="G333" s="4">
        <v>45772</v>
      </c>
      <c r="H333" s="7">
        <f t="shared" si="15"/>
        <v>1</v>
      </c>
      <c r="I333" t="s">
        <v>23</v>
      </c>
      <c r="J333" t="s">
        <v>333</v>
      </c>
      <c r="K333" s="2">
        <v>1264.69</v>
      </c>
      <c r="L333" s="9">
        <v>0.9</v>
      </c>
      <c r="M333" s="15">
        <f t="shared" si="16"/>
        <v>1138.221</v>
      </c>
      <c r="N333" s="15">
        <f t="shared" si="17"/>
        <v>126.46900000000005</v>
      </c>
      <c r="O333" t="s">
        <v>15</v>
      </c>
    </row>
    <row r="334" spans="1:15" hidden="1" x14ac:dyDescent="0.35">
      <c r="A334" t="s">
        <v>679</v>
      </c>
      <c r="B334" t="s">
        <v>680</v>
      </c>
      <c r="C334">
        <v>54</v>
      </c>
      <c r="D334" s="8" t="str" cm="1">
        <f t="array" ref="D334">_xlfn.IFS(C334&lt;=2, "Infant", C334&lt;=11, "Child", C334&lt;=17, "Adolescent", C334&lt;=44, "Young Adult", C334&lt;=64, "Middle Aged", C334&lt;=84,"Young Old", C334&gt;=85,"Oldest Old")</f>
        <v>Middle Aged</v>
      </c>
      <c r="E334" t="s">
        <v>18</v>
      </c>
      <c r="F334" s="4">
        <v>45420</v>
      </c>
      <c r="G334" s="4">
        <v>45431</v>
      </c>
      <c r="H334" s="7">
        <f t="shared" si="15"/>
        <v>11</v>
      </c>
      <c r="I334" t="s">
        <v>60</v>
      </c>
      <c r="J334" t="s">
        <v>74</v>
      </c>
      <c r="K334" s="2">
        <v>26730.35</v>
      </c>
      <c r="L334" s="9">
        <v>0</v>
      </c>
      <c r="M334" s="15">
        <f t="shared" si="16"/>
        <v>0</v>
      </c>
      <c r="N334" s="15">
        <f t="shared" si="17"/>
        <v>26730.35</v>
      </c>
      <c r="O334" t="s">
        <v>20</v>
      </c>
    </row>
    <row r="335" spans="1:15" hidden="1" x14ac:dyDescent="0.35">
      <c r="A335" t="s">
        <v>681</v>
      </c>
      <c r="B335" t="s">
        <v>468</v>
      </c>
      <c r="C335">
        <v>57</v>
      </c>
      <c r="D335" s="8" t="str" cm="1">
        <f t="array" ref="D335">_xlfn.IFS(C335&lt;=2, "Infant", C335&lt;=11, "Child", C335&lt;=17, "Adolescent", C335&lt;=44, "Young Adult", C335&lt;=64, "Middle Aged", C335&lt;=84,"Young Old", C335&gt;=85,"Oldest Old")</f>
        <v>Middle Aged</v>
      </c>
      <c r="E335" t="s">
        <v>18</v>
      </c>
      <c r="F335" s="4">
        <v>45746</v>
      </c>
      <c r="G335" s="4">
        <v>45749</v>
      </c>
      <c r="H335" s="7">
        <f t="shared" si="15"/>
        <v>3</v>
      </c>
      <c r="I335" t="s">
        <v>70</v>
      </c>
      <c r="J335" t="s">
        <v>94</v>
      </c>
      <c r="K335" s="2">
        <v>6655.97</v>
      </c>
      <c r="L335" s="9">
        <v>0.6</v>
      </c>
      <c r="M335" s="15">
        <f t="shared" si="16"/>
        <v>3993.5819999999999</v>
      </c>
      <c r="N335" s="15">
        <f t="shared" si="17"/>
        <v>2662.3880000000004</v>
      </c>
      <c r="O335" t="s">
        <v>20</v>
      </c>
    </row>
    <row r="336" spans="1:15" hidden="1" x14ac:dyDescent="0.35">
      <c r="A336" t="s">
        <v>682</v>
      </c>
      <c r="B336" t="s">
        <v>332</v>
      </c>
      <c r="C336">
        <v>63</v>
      </c>
      <c r="D336" s="8" t="str" cm="1">
        <f t="array" ref="D336">_xlfn.IFS(C336&lt;=2, "Infant", C336&lt;=11, "Child", C336&lt;=17, "Adolescent", C336&lt;=44, "Young Adult", C336&lt;=64, "Middle Aged", C336&lt;=84,"Young Old", C336&gt;=85,"Oldest Old")</f>
        <v>Middle Aged</v>
      </c>
      <c r="E336" t="s">
        <v>12</v>
      </c>
      <c r="F336" s="4">
        <v>45354</v>
      </c>
      <c r="G336" s="4">
        <v>45362</v>
      </c>
      <c r="H336" s="7">
        <f t="shared" si="15"/>
        <v>8</v>
      </c>
      <c r="I336" t="s">
        <v>13</v>
      </c>
      <c r="J336" t="s">
        <v>111</v>
      </c>
      <c r="K336" s="2">
        <v>11856.84</v>
      </c>
      <c r="L336" s="9">
        <v>0.7</v>
      </c>
      <c r="M336" s="15">
        <f t="shared" si="16"/>
        <v>8299.7880000000005</v>
      </c>
      <c r="N336" s="15">
        <f t="shared" si="17"/>
        <v>3557.0519999999997</v>
      </c>
      <c r="O336" t="s">
        <v>20</v>
      </c>
    </row>
    <row r="337" spans="1:15" hidden="1" x14ac:dyDescent="0.35">
      <c r="A337" t="s">
        <v>683</v>
      </c>
      <c r="B337" t="s">
        <v>684</v>
      </c>
      <c r="C337">
        <v>45</v>
      </c>
      <c r="D337" s="8" t="str" cm="1">
        <f t="array" ref="D337">_xlfn.IFS(C337&lt;=2, "Infant", C337&lt;=11, "Child", C337&lt;=17, "Adolescent", C337&lt;=44, "Young Adult", C337&lt;=64, "Middle Aged", C337&lt;=84,"Young Old", C337&gt;=85,"Oldest Old")</f>
        <v>Middle Aged</v>
      </c>
      <c r="E337" t="s">
        <v>12</v>
      </c>
      <c r="F337" s="4">
        <v>45767</v>
      </c>
      <c r="G337" s="4">
        <v>45768</v>
      </c>
      <c r="H337" s="7">
        <f t="shared" si="15"/>
        <v>1</v>
      </c>
      <c r="I337" t="s">
        <v>23</v>
      </c>
      <c r="J337" t="s">
        <v>333</v>
      </c>
      <c r="K337" s="2">
        <v>1625.38</v>
      </c>
      <c r="L337" s="9">
        <v>0.8</v>
      </c>
      <c r="M337" s="15">
        <f t="shared" si="16"/>
        <v>1300.3040000000001</v>
      </c>
      <c r="N337" s="15">
        <f t="shared" si="17"/>
        <v>325.07600000000002</v>
      </c>
      <c r="O337" t="s">
        <v>15</v>
      </c>
    </row>
    <row r="338" spans="1:15" hidden="1" x14ac:dyDescent="0.35">
      <c r="A338" t="s">
        <v>685</v>
      </c>
      <c r="B338" t="s">
        <v>686</v>
      </c>
      <c r="C338">
        <v>71</v>
      </c>
      <c r="D338" s="8" t="str" cm="1">
        <f t="array" ref="D338">_xlfn.IFS(C338&lt;=2, "Infant", C338&lt;=11, "Child", C338&lt;=17, "Adolescent", C338&lt;=44, "Young Adult", C338&lt;=64, "Middle Aged", C338&lt;=84,"Young Old", C338&gt;=85,"Oldest Old")</f>
        <v>Young Old</v>
      </c>
      <c r="E338" t="s">
        <v>12</v>
      </c>
      <c r="F338" s="4">
        <v>45996</v>
      </c>
      <c r="G338" s="4">
        <v>46002</v>
      </c>
      <c r="H338" s="7">
        <f t="shared" si="15"/>
        <v>6</v>
      </c>
      <c r="I338" t="s">
        <v>13</v>
      </c>
      <c r="J338" t="s">
        <v>38</v>
      </c>
      <c r="K338" s="2">
        <v>10880.84</v>
      </c>
      <c r="L338" s="9">
        <v>0.8</v>
      </c>
      <c r="M338" s="15">
        <f t="shared" si="16"/>
        <v>8704.6720000000005</v>
      </c>
      <c r="N338" s="15">
        <f t="shared" si="17"/>
        <v>2176.1679999999997</v>
      </c>
      <c r="O338" t="s">
        <v>15</v>
      </c>
    </row>
    <row r="339" spans="1:15" hidden="1" x14ac:dyDescent="0.35">
      <c r="A339" t="s">
        <v>687</v>
      </c>
      <c r="B339" t="s">
        <v>267</v>
      </c>
      <c r="C339">
        <v>69</v>
      </c>
      <c r="D339" s="8" t="str" cm="1">
        <f t="array" ref="D339">_xlfn.IFS(C339&lt;=2, "Infant", C339&lt;=11, "Child", C339&lt;=17, "Adolescent", C339&lt;=44, "Young Adult", C339&lt;=64, "Middle Aged", C339&lt;=84,"Young Old", C339&gt;=85,"Oldest Old")</f>
        <v>Young Old</v>
      </c>
      <c r="E339" t="s">
        <v>12</v>
      </c>
      <c r="F339" s="4">
        <v>45940</v>
      </c>
      <c r="G339" s="4">
        <v>45941</v>
      </c>
      <c r="H339" s="7">
        <f t="shared" si="15"/>
        <v>1</v>
      </c>
      <c r="I339" t="s">
        <v>31</v>
      </c>
      <c r="J339" t="s">
        <v>114</v>
      </c>
      <c r="K339" s="2">
        <v>1151.51</v>
      </c>
      <c r="L339" s="9">
        <v>0.9</v>
      </c>
      <c r="M339" s="15">
        <f t="shared" si="16"/>
        <v>1036.3589999999999</v>
      </c>
      <c r="N339" s="15">
        <f t="shared" si="17"/>
        <v>115.15100000000007</v>
      </c>
      <c r="O339" t="s">
        <v>20</v>
      </c>
    </row>
    <row r="340" spans="1:15" hidden="1" x14ac:dyDescent="0.35">
      <c r="A340" t="s">
        <v>688</v>
      </c>
      <c r="B340" t="s">
        <v>139</v>
      </c>
      <c r="C340">
        <v>43</v>
      </c>
      <c r="D340" s="8" t="str" cm="1">
        <f t="array" ref="D340">_xlfn.IFS(C340&lt;=2, "Infant", C340&lt;=11, "Child", C340&lt;=17, "Adolescent", C340&lt;=44, "Young Adult", C340&lt;=64, "Middle Aged", C340&lt;=84,"Young Old", C340&gt;=85,"Oldest Old")</f>
        <v>Young Adult</v>
      </c>
      <c r="E340" t="s">
        <v>18</v>
      </c>
      <c r="F340" s="4">
        <v>45434</v>
      </c>
      <c r="G340" s="4">
        <v>45441</v>
      </c>
      <c r="H340" s="7">
        <f t="shared" si="15"/>
        <v>7</v>
      </c>
      <c r="I340" t="s">
        <v>13</v>
      </c>
      <c r="J340" t="s">
        <v>38</v>
      </c>
      <c r="K340" s="2">
        <v>13660.38</v>
      </c>
      <c r="L340" s="9">
        <v>0.5</v>
      </c>
      <c r="M340" s="15">
        <f t="shared" si="16"/>
        <v>6830.19</v>
      </c>
      <c r="N340" s="15">
        <f t="shared" si="17"/>
        <v>6830.19</v>
      </c>
      <c r="O340" t="s">
        <v>20</v>
      </c>
    </row>
    <row r="341" spans="1:15" hidden="1" x14ac:dyDescent="0.35">
      <c r="A341" t="s">
        <v>689</v>
      </c>
      <c r="B341" t="s">
        <v>463</v>
      </c>
      <c r="C341">
        <v>21</v>
      </c>
      <c r="D341" s="8" t="str" cm="1">
        <f t="array" ref="D341">_xlfn.IFS(C341&lt;=2, "Infant", C341&lt;=11, "Child", C341&lt;=17, "Adolescent", C341&lt;=44, "Young Adult", C341&lt;=64, "Middle Aged", C341&lt;=84,"Young Old", C341&gt;=85,"Oldest Old")</f>
        <v>Young Adult</v>
      </c>
      <c r="E341" t="s">
        <v>12</v>
      </c>
      <c r="F341" s="4">
        <v>45672</v>
      </c>
      <c r="G341" s="4">
        <v>45676</v>
      </c>
      <c r="H341" s="7">
        <f t="shared" si="15"/>
        <v>4</v>
      </c>
      <c r="I341" t="s">
        <v>31</v>
      </c>
      <c r="J341" t="s">
        <v>114</v>
      </c>
      <c r="K341" s="2">
        <v>5372.91</v>
      </c>
      <c r="L341" s="9">
        <v>0.9</v>
      </c>
      <c r="M341" s="15">
        <f t="shared" si="16"/>
        <v>4835.6189999999997</v>
      </c>
      <c r="N341" s="15">
        <f t="shared" si="17"/>
        <v>537.29100000000017</v>
      </c>
      <c r="O341" t="s">
        <v>15</v>
      </c>
    </row>
    <row r="342" spans="1:15" hidden="1" x14ac:dyDescent="0.35">
      <c r="A342" t="s">
        <v>690</v>
      </c>
      <c r="B342" t="s">
        <v>691</v>
      </c>
      <c r="C342">
        <v>16</v>
      </c>
      <c r="D342" s="8" t="str" cm="1">
        <f t="array" ref="D342">_xlfn.IFS(C342&lt;=2, "Infant", C342&lt;=11, "Child", C342&lt;=17, "Adolescent", C342&lt;=44, "Young Adult", C342&lt;=64, "Middle Aged", C342&lt;=84,"Young Old", C342&gt;=85,"Oldest Old")</f>
        <v>Adolescent</v>
      </c>
      <c r="E342" t="s">
        <v>12</v>
      </c>
      <c r="F342" s="4">
        <v>45357</v>
      </c>
      <c r="G342" s="4">
        <v>45360</v>
      </c>
      <c r="H342" s="7">
        <f t="shared" si="15"/>
        <v>3</v>
      </c>
      <c r="I342" t="s">
        <v>49</v>
      </c>
      <c r="J342" t="s">
        <v>378</v>
      </c>
      <c r="K342" s="2">
        <v>5108.66</v>
      </c>
      <c r="L342" s="9">
        <v>0.8</v>
      </c>
      <c r="M342" s="15">
        <f t="shared" si="16"/>
        <v>4086.9279999999999</v>
      </c>
      <c r="N342" s="15">
        <f t="shared" si="17"/>
        <v>1021.732</v>
      </c>
      <c r="O342" t="s">
        <v>15</v>
      </c>
    </row>
    <row r="343" spans="1:15" hidden="1" x14ac:dyDescent="0.35">
      <c r="A343" t="s">
        <v>692</v>
      </c>
      <c r="B343" t="s">
        <v>693</v>
      </c>
      <c r="C343">
        <v>72</v>
      </c>
      <c r="D343" s="8" t="str" cm="1">
        <f t="array" ref="D343">_xlfn.IFS(C343&lt;=2, "Infant", C343&lt;=11, "Child", C343&lt;=17, "Adolescent", C343&lt;=44, "Young Adult", C343&lt;=64, "Middle Aged", C343&lt;=84,"Young Old", C343&gt;=85,"Oldest Old")</f>
        <v>Young Old</v>
      </c>
      <c r="E343" t="s">
        <v>18</v>
      </c>
      <c r="F343" s="4">
        <v>45778</v>
      </c>
      <c r="G343" s="4">
        <v>45781</v>
      </c>
      <c r="H343" s="7">
        <f t="shared" si="15"/>
        <v>3</v>
      </c>
      <c r="I343" t="s">
        <v>23</v>
      </c>
      <c r="J343" t="s">
        <v>221</v>
      </c>
      <c r="K343" s="2">
        <v>4730.3599999999997</v>
      </c>
      <c r="L343" s="9">
        <v>0.9</v>
      </c>
      <c r="M343" s="15">
        <f t="shared" si="16"/>
        <v>4257.3239999999996</v>
      </c>
      <c r="N343" s="15">
        <f t="shared" si="17"/>
        <v>473.03600000000006</v>
      </c>
      <c r="O343" t="s">
        <v>15</v>
      </c>
    </row>
    <row r="344" spans="1:15" hidden="1" x14ac:dyDescent="0.35">
      <c r="A344" t="s">
        <v>694</v>
      </c>
      <c r="B344" t="s">
        <v>695</v>
      </c>
      <c r="C344">
        <v>57</v>
      </c>
      <c r="D344" s="8" t="str" cm="1">
        <f t="array" ref="D344">_xlfn.IFS(C344&lt;=2, "Infant", C344&lt;=11, "Child", C344&lt;=17, "Adolescent", C344&lt;=44, "Young Adult", C344&lt;=64, "Middle Aged", C344&lt;=84,"Young Old", C344&gt;=85,"Oldest Old")</f>
        <v>Middle Aged</v>
      </c>
      <c r="E344" t="s">
        <v>18</v>
      </c>
      <c r="F344" s="4">
        <v>45670</v>
      </c>
      <c r="G344" s="4">
        <v>45673</v>
      </c>
      <c r="H344" s="7">
        <f t="shared" si="15"/>
        <v>3</v>
      </c>
      <c r="I344" t="s">
        <v>31</v>
      </c>
      <c r="J344" t="s">
        <v>44</v>
      </c>
      <c r="K344" s="2">
        <v>4389.91</v>
      </c>
      <c r="L344" s="9">
        <v>0.8</v>
      </c>
      <c r="M344" s="15">
        <f t="shared" si="16"/>
        <v>3511.9279999999999</v>
      </c>
      <c r="N344" s="15">
        <f t="shared" si="17"/>
        <v>877.98199999999997</v>
      </c>
      <c r="O344" t="s">
        <v>15</v>
      </c>
    </row>
    <row r="345" spans="1:15" hidden="1" x14ac:dyDescent="0.35">
      <c r="A345" t="s">
        <v>696</v>
      </c>
      <c r="B345" t="s">
        <v>697</v>
      </c>
      <c r="C345">
        <v>39</v>
      </c>
      <c r="D345" s="8" t="str" cm="1">
        <f t="array" ref="D345">_xlfn.IFS(C345&lt;=2, "Infant", C345&lt;=11, "Child", C345&lt;=17, "Adolescent", C345&lt;=44, "Young Adult", C345&lt;=64, "Middle Aged", C345&lt;=84,"Young Old", C345&gt;=85,"Oldest Old")</f>
        <v>Young Adult</v>
      </c>
      <c r="E345" t="s">
        <v>18</v>
      </c>
      <c r="F345" s="4">
        <v>45906</v>
      </c>
      <c r="G345" s="4">
        <v>45914</v>
      </c>
      <c r="H345" s="7">
        <f t="shared" si="15"/>
        <v>8</v>
      </c>
      <c r="I345" t="s">
        <v>60</v>
      </c>
      <c r="J345" t="s">
        <v>74</v>
      </c>
      <c r="K345" s="2">
        <v>8536.89</v>
      </c>
      <c r="L345" s="9">
        <v>0.8</v>
      </c>
      <c r="M345" s="15">
        <f t="shared" si="16"/>
        <v>6829.5119999999997</v>
      </c>
      <c r="N345" s="15">
        <f t="shared" si="17"/>
        <v>1707.3779999999997</v>
      </c>
      <c r="O345" t="s">
        <v>15</v>
      </c>
    </row>
    <row r="346" spans="1:15" hidden="1" x14ac:dyDescent="0.35">
      <c r="A346" t="s">
        <v>698</v>
      </c>
      <c r="B346" t="s">
        <v>579</v>
      </c>
      <c r="C346">
        <v>12</v>
      </c>
      <c r="D346" s="8" t="str" cm="1">
        <f t="array" ref="D346">_xlfn.IFS(C346&lt;=2, "Infant", C346&lt;=11, "Child", C346&lt;=17, "Adolescent", C346&lt;=44, "Young Adult", C346&lt;=64, "Middle Aged", C346&lt;=84,"Young Old", C346&gt;=85,"Oldest Old")</f>
        <v>Adolescent</v>
      </c>
      <c r="E346" t="s">
        <v>18</v>
      </c>
      <c r="F346" s="4">
        <v>45578</v>
      </c>
      <c r="G346" s="4">
        <v>45583</v>
      </c>
      <c r="H346" s="7">
        <f t="shared" si="15"/>
        <v>5</v>
      </c>
      <c r="I346" t="s">
        <v>49</v>
      </c>
      <c r="J346" t="s">
        <v>130</v>
      </c>
      <c r="K346" s="2">
        <v>3347.44</v>
      </c>
      <c r="L346" s="9">
        <v>0</v>
      </c>
      <c r="M346" s="15">
        <f t="shared" si="16"/>
        <v>0</v>
      </c>
      <c r="N346" s="15">
        <f t="shared" si="17"/>
        <v>3347.44</v>
      </c>
      <c r="O346" t="s">
        <v>25</v>
      </c>
    </row>
    <row r="347" spans="1:15" hidden="1" x14ac:dyDescent="0.35">
      <c r="A347" t="s">
        <v>699</v>
      </c>
      <c r="B347" t="s">
        <v>700</v>
      </c>
      <c r="C347">
        <v>57</v>
      </c>
      <c r="D347" s="8" t="str" cm="1">
        <f t="array" ref="D347">_xlfn.IFS(C347&lt;=2, "Infant", C347&lt;=11, "Child", C347&lt;=17, "Adolescent", C347&lt;=44, "Young Adult", C347&lt;=64, "Middle Aged", C347&lt;=84,"Young Old", C347&gt;=85,"Oldest Old")</f>
        <v>Middle Aged</v>
      </c>
      <c r="E347" t="s">
        <v>18</v>
      </c>
      <c r="F347" s="4">
        <v>45937</v>
      </c>
      <c r="G347" s="4">
        <v>45943</v>
      </c>
      <c r="H347" s="7">
        <f t="shared" si="15"/>
        <v>6</v>
      </c>
      <c r="I347" t="s">
        <v>13</v>
      </c>
      <c r="J347" t="s">
        <v>165</v>
      </c>
      <c r="K347" s="2">
        <v>15565.46</v>
      </c>
      <c r="L347" s="9">
        <v>0.7</v>
      </c>
      <c r="M347" s="15">
        <f t="shared" si="16"/>
        <v>10895.821999999998</v>
      </c>
      <c r="N347" s="15">
        <f t="shared" si="17"/>
        <v>4669.6380000000008</v>
      </c>
      <c r="O347" t="s">
        <v>20</v>
      </c>
    </row>
    <row r="348" spans="1:15" hidden="1" x14ac:dyDescent="0.35">
      <c r="A348" t="s">
        <v>701</v>
      </c>
      <c r="B348" t="s">
        <v>702</v>
      </c>
      <c r="C348">
        <v>52</v>
      </c>
      <c r="D348" s="8" t="str" cm="1">
        <f t="array" ref="D348">_xlfn.IFS(C348&lt;=2, "Infant", C348&lt;=11, "Child", C348&lt;=17, "Adolescent", C348&lt;=44, "Young Adult", C348&lt;=64, "Middle Aged", C348&lt;=84,"Young Old", C348&gt;=85,"Oldest Old")</f>
        <v>Middle Aged</v>
      </c>
      <c r="E348" t="s">
        <v>12</v>
      </c>
      <c r="F348" s="4">
        <v>45979</v>
      </c>
      <c r="G348" s="4">
        <v>45986</v>
      </c>
      <c r="H348" s="7">
        <f t="shared" si="15"/>
        <v>7</v>
      </c>
      <c r="I348" t="s">
        <v>31</v>
      </c>
      <c r="J348" t="s">
        <v>114</v>
      </c>
      <c r="K348" s="2">
        <v>4507.1400000000003</v>
      </c>
      <c r="L348" s="9">
        <v>0.8</v>
      </c>
      <c r="M348" s="15">
        <f t="shared" si="16"/>
        <v>3605.7120000000004</v>
      </c>
      <c r="N348" s="15">
        <f t="shared" si="17"/>
        <v>901.42799999999988</v>
      </c>
      <c r="O348" t="s">
        <v>25</v>
      </c>
    </row>
    <row r="349" spans="1:15" hidden="1" x14ac:dyDescent="0.35">
      <c r="A349" t="s">
        <v>703</v>
      </c>
      <c r="B349" t="s">
        <v>704</v>
      </c>
      <c r="C349">
        <v>62</v>
      </c>
      <c r="D349" s="8" t="str" cm="1">
        <f t="array" ref="D349">_xlfn.IFS(C349&lt;=2, "Infant", C349&lt;=11, "Child", C349&lt;=17, "Adolescent", C349&lt;=44, "Young Adult", C349&lt;=64, "Middle Aged", C349&lt;=84,"Young Old", C349&gt;=85,"Oldest Old")</f>
        <v>Middle Aged</v>
      </c>
      <c r="E349" t="s">
        <v>12</v>
      </c>
      <c r="F349" s="4">
        <v>45848</v>
      </c>
      <c r="G349" s="4">
        <v>45855</v>
      </c>
      <c r="H349" s="7">
        <f t="shared" si="15"/>
        <v>7</v>
      </c>
      <c r="I349" t="s">
        <v>13</v>
      </c>
      <c r="J349" t="s">
        <v>14</v>
      </c>
      <c r="K349" s="2">
        <v>10788.07</v>
      </c>
      <c r="L349" s="9">
        <v>0.7</v>
      </c>
      <c r="M349" s="15">
        <f t="shared" si="16"/>
        <v>7551.6489999999994</v>
      </c>
      <c r="N349" s="15">
        <f t="shared" si="17"/>
        <v>3236.4210000000003</v>
      </c>
      <c r="O349" t="s">
        <v>20</v>
      </c>
    </row>
    <row r="350" spans="1:15" hidden="1" x14ac:dyDescent="0.35">
      <c r="A350" t="s">
        <v>705</v>
      </c>
      <c r="B350" t="s">
        <v>706</v>
      </c>
      <c r="C350">
        <v>46</v>
      </c>
      <c r="D350" s="8" t="str" cm="1">
        <f t="array" ref="D350">_xlfn.IFS(C350&lt;=2, "Infant", C350&lt;=11, "Child", C350&lt;=17, "Adolescent", C350&lt;=44, "Young Adult", C350&lt;=64, "Middle Aged", C350&lt;=84,"Young Old", C350&gt;=85,"Oldest Old")</f>
        <v>Middle Aged</v>
      </c>
      <c r="E350" t="s">
        <v>12</v>
      </c>
      <c r="F350" s="4">
        <v>45431</v>
      </c>
      <c r="G350" s="4">
        <v>45440</v>
      </c>
      <c r="H350" s="7">
        <f t="shared" si="15"/>
        <v>9</v>
      </c>
      <c r="I350" t="s">
        <v>13</v>
      </c>
      <c r="J350" t="s">
        <v>19</v>
      </c>
      <c r="K350" s="2">
        <v>26034.080000000002</v>
      </c>
      <c r="L350" s="9">
        <v>0.8</v>
      </c>
      <c r="M350" s="15">
        <f t="shared" si="16"/>
        <v>20827.264000000003</v>
      </c>
      <c r="N350" s="15">
        <f t="shared" si="17"/>
        <v>5206.8159999999989</v>
      </c>
      <c r="O350" t="s">
        <v>15</v>
      </c>
    </row>
    <row r="351" spans="1:15" hidden="1" x14ac:dyDescent="0.35">
      <c r="A351" t="s">
        <v>707</v>
      </c>
      <c r="B351" t="s">
        <v>708</v>
      </c>
      <c r="C351">
        <v>44</v>
      </c>
      <c r="D351" s="8" t="str" cm="1">
        <f t="array" ref="D351">_xlfn.IFS(C351&lt;=2, "Infant", C351&lt;=11, "Child", C351&lt;=17, "Adolescent", C351&lt;=44, "Young Adult", C351&lt;=64, "Middle Aged", C351&lt;=84,"Young Old", C351&gt;=85,"Oldest Old")</f>
        <v>Young Adult</v>
      </c>
      <c r="E351" t="s">
        <v>12</v>
      </c>
      <c r="F351" s="4">
        <v>45525</v>
      </c>
      <c r="G351" s="4">
        <v>45533</v>
      </c>
      <c r="H351" s="7">
        <f t="shared" si="15"/>
        <v>8</v>
      </c>
      <c r="I351" t="s">
        <v>13</v>
      </c>
      <c r="J351" t="s">
        <v>111</v>
      </c>
      <c r="K351" s="2">
        <v>10409.19</v>
      </c>
      <c r="L351" s="9">
        <v>0.9</v>
      </c>
      <c r="M351" s="15">
        <f t="shared" si="16"/>
        <v>9368.2710000000006</v>
      </c>
      <c r="N351" s="15">
        <f t="shared" si="17"/>
        <v>1040.9189999999999</v>
      </c>
      <c r="O351" t="s">
        <v>25</v>
      </c>
    </row>
    <row r="352" spans="1:15" hidden="1" x14ac:dyDescent="0.35">
      <c r="A352" t="s">
        <v>709</v>
      </c>
      <c r="B352" t="s">
        <v>710</v>
      </c>
      <c r="C352">
        <v>62</v>
      </c>
      <c r="D352" s="8" t="str" cm="1">
        <f t="array" ref="D352">_xlfn.IFS(C352&lt;=2, "Infant", C352&lt;=11, "Child", C352&lt;=17, "Adolescent", C352&lt;=44, "Young Adult", C352&lt;=64, "Middle Aged", C352&lt;=84,"Young Old", C352&gt;=85,"Oldest Old")</f>
        <v>Middle Aged</v>
      </c>
      <c r="E352" t="s">
        <v>18</v>
      </c>
      <c r="F352" s="4">
        <v>45506</v>
      </c>
      <c r="G352" s="4">
        <v>45507</v>
      </c>
      <c r="H352" s="7">
        <f t="shared" si="15"/>
        <v>1</v>
      </c>
      <c r="I352" t="s">
        <v>23</v>
      </c>
      <c r="J352" t="s">
        <v>333</v>
      </c>
      <c r="K352" s="2">
        <v>1428.8</v>
      </c>
      <c r="L352" s="9">
        <v>0.8</v>
      </c>
      <c r="M352" s="15">
        <f t="shared" si="16"/>
        <v>1143.04</v>
      </c>
      <c r="N352" s="15">
        <f t="shared" si="17"/>
        <v>285.76</v>
      </c>
      <c r="O352" t="s">
        <v>20</v>
      </c>
    </row>
    <row r="353" spans="1:15" hidden="1" x14ac:dyDescent="0.35">
      <c r="A353" t="s">
        <v>711</v>
      </c>
      <c r="B353" t="s">
        <v>712</v>
      </c>
      <c r="C353">
        <v>73</v>
      </c>
      <c r="D353" s="8" t="str" cm="1">
        <f t="array" ref="D353">_xlfn.IFS(C353&lt;=2, "Infant", C353&lt;=11, "Child", C353&lt;=17, "Adolescent", C353&lt;=44, "Young Adult", C353&lt;=64, "Middle Aged", C353&lt;=84,"Young Old", C353&gt;=85,"Oldest Old")</f>
        <v>Young Old</v>
      </c>
      <c r="E353" t="s">
        <v>18</v>
      </c>
      <c r="F353" s="4">
        <v>45799</v>
      </c>
      <c r="G353" s="4">
        <v>45802</v>
      </c>
      <c r="H353" s="7">
        <f t="shared" si="15"/>
        <v>3</v>
      </c>
      <c r="I353" t="s">
        <v>23</v>
      </c>
      <c r="J353" t="s">
        <v>204</v>
      </c>
      <c r="K353" s="2">
        <v>6491.42</v>
      </c>
      <c r="L353" s="9">
        <v>0</v>
      </c>
      <c r="M353" s="15">
        <f t="shared" si="16"/>
        <v>0</v>
      </c>
      <c r="N353" s="15">
        <f t="shared" si="17"/>
        <v>6491.42</v>
      </c>
      <c r="O353" t="s">
        <v>25</v>
      </c>
    </row>
    <row r="354" spans="1:15" hidden="1" x14ac:dyDescent="0.35">
      <c r="A354" t="s">
        <v>713</v>
      </c>
      <c r="B354" t="s">
        <v>714</v>
      </c>
      <c r="C354">
        <v>80</v>
      </c>
      <c r="D354" s="8" t="str" cm="1">
        <f t="array" ref="D354">_xlfn.IFS(C354&lt;=2, "Infant", C354&lt;=11, "Child", C354&lt;=17, "Adolescent", C354&lt;=44, "Young Adult", C354&lt;=64, "Middle Aged", C354&lt;=84,"Young Old", C354&gt;=85,"Oldest Old")</f>
        <v>Young Old</v>
      </c>
      <c r="E354" t="s">
        <v>18</v>
      </c>
      <c r="F354" s="4">
        <v>45736</v>
      </c>
      <c r="G354" s="4">
        <v>45739</v>
      </c>
      <c r="H354" s="7">
        <f t="shared" si="15"/>
        <v>3</v>
      </c>
      <c r="I354" t="s">
        <v>23</v>
      </c>
      <c r="J354" t="s">
        <v>221</v>
      </c>
      <c r="K354" s="2">
        <v>2816.11</v>
      </c>
      <c r="L354" s="9">
        <v>0.8</v>
      </c>
      <c r="M354" s="15">
        <f t="shared" si="16"/>
        <v>2252.8880000000004</v>
      </c>
      <c r="N354" s="15">
        <f t="shared" si="17"/>
        <v>563.22199999999975</v>
      </c>
      <c r="O354" t="s">
        <v>25</v>
      </c>
    </row>
    <row r="355" spans="1:15" hidden="1" x14ac:dyDescent="0.35">
      <c r="A355" t="s">
        <v>715</v>
      </c>
      <c r="B355" t="s">
        <v>196</v>
      </c>
      <c r="C355">
        <v>12</v>
      </c>
      <c r="D355" s="8" t="str" cm="1">
        <f t="array" ref="D355">_xlfn.IFS(C355&lt;=2, "Infant", C355&lt;=11, "Child", C355&lt;=17, "Adolescent", C355&lt;=44, "Young Adult", C355&lt;=64, "Middle Aged", C355&lt;=84,"Young Old", C355&gt;=85,"Oldest Old")</f>
        <v>Adolescent</v>
      </c>
      <c r="E355" t="s">
        <v>12</v>
      </c>
      <c r="F355" s="4">
        <v>45989</v>
      </c>
      <c r="G355" s="4">
        <v>45994</v>
      </c>
      <c r="H355" s="7">
        <f t="shared" si="15"/>
        <v>5</v>
      </c>
      <c r="I355" t="s">
        <v>49</v>
      </c>
      <c r="J355" t="s">
        <v>120</v>
      </c>
      <c r="K355" s="2">
        <v>6337.74</v>
      </c>
      <c r="L355" s="9">
        <v>0.6</v>
      </c>
      <c r="M355" s="15">
        <f t="shared" si="16"/>
        <v>3802.6439999999998</v>
      </c>
      <c r="N355" s="15">
        <f t="shared" si="17"/>
        <v>2535.096</v>
      </c>
      <c r="O355" t="s">
        <v>20</v>
      </c>
    </row>
    <row r="356" spans="1:15" hidden="1" x14ac:dyDescent="0.35">
      <c r="A356" t="s">
        <v>716</v>
      </c>
      <c r="B356" t="s">
        <v>717</v>
      </c>
      <c r="C356">
        <v>48</v>
      </c>
      <c r="D356" s="8" t="str" cm="1">
        <f t="array" ref="D356">_xlfn.IFS(C356&lt;=2, "Infant", C356&lt;=11, "Child", C356&lt;=17, "Adolescent", C356&lt;=44, "Young Adult", C356&lt;=64, "Middle Aged", C356&lt;=84,"Young Old", C356&gt;=85,"Oldest Old")</f>
        <v>Middle Aged</v>
      </c>
      <c r="E356" t="s">
        <v>18</v>
      </c>
      <c r="F356" s="4">
        <v>45398</v>
      </c>
      <c r="G356" s="4">
        <v>45405</v>
      </c>
      <c r="H356" s="7">
        <f t="shared" si="15"/>
        <v>7</v>
      </c>
      <c r="I356" t="s">
        <v>31</v>
      </c>
      <c r="J356" t="s">
        <v>87</v>
      </c>
      <c r="K356" s="2">
        <v>8162.88</v>
      </c>
      <c r="L356" s="9">
        <v>0.6</v>
      </c>
      <c r="M356" s="15">
        <f t="shared" si="16"/>
        <v>4897.7280000000001</v>
      </c>
      <c r="N356" s="15">
        <f t="shared" si="17"/>
        <v>3265.152</v>
      </c>
      <c r="O356" t="s">
        <v>15</v>
      </c>
    </row>
    <row r="357" spans="1:15" hidden="1" x14ac:dyDescent="0.35">
      <c r="A357" t="s">
        <v>718</v>
      </c>
      <c r="B357" t="s">
        <v>719</v>
      </c>
      <c r="C357">
        <v>69</v>
      </c>
      <c r="D357" s="8" t="str" cm="1">
        <f t="array" ref="D357">_xlfn.IFS(C357&lt;=2, "Infant", C357&lt;=11, "Child", C357&lt;=17, "Adolescent", C357&lt;=44, "Young Adult", C357&lt;=64, "Middle Aged", C357&lt;=84,"Young Old", C357&gt;=85,"Oldest Old")</f>
        <v>Young Old</v>
      </c>
      <c r="E357" t="s">
        <v>12</v>
      </c>
      <c r="F357" s="4">
        <v>45706</v>
      </c>
      <c r="G357" s="4">
        <v>45708</v>
      </c>
      <c r="H357" s="7">
        <f t="shared" si="15"/>
        <v>2</v>
      </c>
      <c r="I357" t="s">
        <v>31</v>
      </c>
      <c r="J357" t="s">
        <v>35</v>
      </c>
      <c r="K357" s="2">
        <v>2495.13</v>
      </c>
      <c r="L357" s="9">
        <v>0.7</v>
      </c>
      <c r="M357" s="15">
        <f t="shared" si="16"/>
        <v>1746.5909999999999</v>
      </c>
      <c r="N357" s="15">
        <f t="shared" si="17"/>
        <v>748.53900000000021</v>
      </c>
      <c r="O357" t="s">
        <v>15</v>
      </c>
    </row>
    <row r="358" spans="1:15" hidden="1" x14ac:dyDescent="0.35">
      <c r="A358" t="s">
        <v>720</v>
      </c>
      <c r="B358" t="s">
        <v>721</v>
      </c>
      <c r="C358">
        <v>16</v>
      </c>
      <c r="D358" s="8" t="str" cm="1">
        <f t="array" ref="D358">_xlfn.IFS(C358&lt;=2, "Infant", C358&lt;=11, "Child", C358&lt;=17, "Adolescent", C358&lt;=44, "Young Adult", C358&lt;=64, "Middle Aged", C358&lt;=84,"Young Old", C358&gt;=85,"Oldest Old")</f>
        <v>Adolescent</v>
      </c>
      <c r="E358" t="s">
        <v>18</v>
      </c>
      <c r="F358" s="4">
        <v>45454</v>
      </c>
      <c r="G358" s="4">
        <v>45455</v>
      </c>
      <c r="H358" s="7">
        <f t="shared" si="15"/>
        <v>1</v>
      </c>
      <c r="I358" t="s">
        <v>49</v>
      </c>
      <c r="J358" t="s">
        <v>120</v>
      </c>
      <c r="K358" s="2">
        <v>1054.1400000000001</v>
      </c>
      <c r="L358" s="9">
        <v>0.5</v>
      </c>
      <c r="M358" s="15">
        <f t="shared" si="16"/>
        <v>527.07000000000005</v>
      </c>
      <c r="N358" s="15">
        <f t="shared" si="17"/>
        <v>527.07000000000005</v>
      </c>
      <c r="O358" t="s">
        <v>20</v>
      </c>
    </row>
    <row r="359" spans="1:15" hidden="1" x14ac:dyDescent="0.35">
      <c r="A359" t="s">
        <v>722</v>
      </c>
      <c r="B359" t="s">
        <v>723</v>
      </c>
      <c r="C359">
        <v>73</v>
      </c>
      <c r="D359" s="8" t="str" cm="1">
        <f t="array" ref="D359">_xlfn.IFS(C359&lt;=2, "Infant", C359&lt;=11, "Child", C359&lt;=17, "Adolescent", C359&lt;=44, "Young Adult", C359&lt;=64, "Middle Aged", C359&lt;=84,"Young Old", C359&gt;=85,"Oldest Old")</f>
        <v>Young Old</v>
      </c>
      <c r="E359" t="s">
        <v>18</v>
      </c>
      <c r="F359" s="4">
        <v>45746</v>
      </c>
      <c r="G359" s="4">
        <v>45747</v>
      </c>
      <c r="H359" s="7">
        <f t="shared" si="15"/>
        <v>1</v>
      </c>
      <c r="I359" t="s">
        <v>23</v>
      </c>
      <c r="J359" t="s">
        <v>82</v>
      </c>
      <c r="K359" s="2">
        <v>1251.25</v>
      </c>
      <c r="L359" s="9">
        <v>0.8</v>
      </c>
      <c r="M359" s="15">
        <f t="shared" si="16"/>
        <v>1001</v>
      </c>
      <c r="N359" s="15">
        <f t="shared" si="17"/>
        <v>250.25</v>
      </c>
      <c r="O359" t="s">
        <v>15</v>
      </c>
    </row>
    <row r="360" spans="1:15" hidden="1" x14ac:dyDescent="0.35">
      <c r="A360" t="s">
        <v>724</v>
      </c>
      <c r="B360" t="s">
        <v>725</v>
      </c>
      <c r="C360">
        <v>53</v>
      </c>
      <c r="D360" s="8" t="str" cm="1">
        <f t="array" ref="D360">_xlfn.IFS(C360&lt;=2, "Infant", C360&lt;=11, "Child", C360&lt;=17, "Adolescent", C360&lt;=44, "Young Adult", C360&lt;=64, "Middle Aged", C360&lt;=84,"Young Old", C360&gt;=85,"Oldest Old")</f>
        <v>Middle Aged</v>
      </c>
      <c r="E360" t="s">
        <v>12</v>
      </c>
      <c r="F360" s="4">
        <v>45736</v>
      </c>
      <c r="G360" s="4">
        <v>45742</v>
      </c>
      <c r="H360" s="7">
        <f t="shared" si="15"/>
        <v>6</v>
      </c>
      <c r="I360" t="s">
        <v>13</v>
      </c>
      <c r="J360" t="s">
        <v>111</v>
      </c>
      <c r="K360" s="2">
        <v>16598.080000000002</v>
      </c>
      <c r="L360" s="9">
        <v>0.8</v>
      </c>
      <c r="M360" s="15">
        <f t="shared" si="16"/>
        <v>13278.464000000002</v>
      </c>
      <c r="N360" s="15">
        <f t="shared" si="17"/>
        <v>3319.616</v>
      </c>
      <c r="O360" t="s">
        <v>15</v>
      </c>
    </row>
    <row r="361" spans="1:15" hidden="1" x14ac:dyDescent="0.35">
      <c r="A361" t="s">
        <v>726</v>
      </c>
      <c r="B361" t="s">
        <v>727</v>
      </c>
      <c r="C361">
        <v>46</v>
      </c>
      <c r="D361" s="8" t="str" cm="1">
        <f t="array" ref="D361">_xlfn.IFS(C361&lt;=2, "Infant", C361&lt;=11, "Child", C361&lt;=17, "Adolescent", C361&lt;=44, "Young Adult", C361&lt;=64, "Middle Aged", C361&lt;=84,"Young Old", C361&gt;=85,"Oldest Old")</f>
        <v>Middle Aged</v>
      </c>
      <c r="E361" t="s">
        <v>18</v>
      </c>
      <c r="F361" s="4">
        <v>45569</v>
      </c>
      <c r="G361" s="4">
        <v>45573</v>
      </c>
      <c r="H361" s="7">
        <f t="shared" si="15"/>
        <v>4</v>
      </c>
      <c r="I361" t="s">
        <v>31</v>
      </c>
      <c r="J361" t="s">
        <v>234</v>
      </c>
      <c r="K361" s="2">
        <v>4875.57</v>
      </c>
      <c r="L361" s="9">
        <v>0.9</v>
      </c>
      <c r="M361" s="15">
        <f t="shared" si="16"/>
        <v>4388.0129999999999</v>
      </c>
      <c r="N361" s="15">
        <f t="shared" si="17"/>
        <v>487.55699999999979</v>
      </c>
      <c r="O361" t="s">
        <v>15</v>
      </c>
    </row>
    <row r="362" spans="1:15" hidden="1" x14ac:dyDescent="0.35">
      <c r="A362" t="s">
        <v>728</v>
      </c>
      <c r="B362" t="s">
        <v>729</v>
      </c>
      <c r="C362">
        <v>53</v>
      </c>
      <c r="D362" s="8" t="str" cm="1">
        <f t="array" ref="D362">_xlfn.IFS(C362&lt;=2, "Infant", C362&lt;=11, "Child", C362&lt;=17, "Adolescent", C362&lt;=44, "Young Adult", C362&lt;=64, "Middle Aged", C362&lt;=84,"Young Old", C362&gt;=85,"Oldest Old")</f>
        <v>Middle Aged</v>
      </c>
      <c r="E362" t="s">
        <v>12</v>
      </c>
      <c r="F362" s="4">
        <v>45993</v>
      </c>
      <c r="G362" s="4">
        <v>45998</v>
      </c>
      <c r="H362" s="7">
        <f t="shared" si="15"/>
        <v>5</v>
      </c>
      <c r="I362" t="s">
        <v>70</v>
      </c>
      <c r="J362" t="s">
        <v>237</v>
      </c>
      <c r="K362" s="2">
        <v>12181.3</v>
      </c>
      <c r="L362" s="9">
        <v>0.5</v>
      </c>
      <c r="M362" s="15">
        <f t="shared" si="16"/>
        <v>6090.65</v>
      </c>
      <c r="N362" s="15">
        <f t="shared" si="17"/>
        <v>6090.65</v>
      </c>
      <c r="O362" t="s">
        <v>15</v>
      </c>
    </row>
    <row r="363" spans="1:15" hidden="1" x14ac:dyDescent="0.35">
      <c r="A363" t="s">
        <v>730</v>
      </c>
      <c r="B363" t="s">
        <v>731</v>
      </c>
      <c r="C363">
        <v>59</v>
      </c>
      <c r="D363" s="8" t="str" cm="1">
        <f t="array" ref="D363">_xlfn.IFS(C363&lt;=2, "Infant", C363&lt;=11, "Child", C363&lt;=17, "Adolescent", C363&lt;=44, "Young Adult", C363&lt;=64, "Middle Aged", C363&lt;=84,"Young Old", C363&gt;=85,"Oldest Old")</f>
        <v>Middle Aged</v>
      </c>
      <c r="E363" t="s">
        <v>12</v>
      </c>
      <c r="F363" s="4">
        <v>45862</v>
      </c>
      <c r="G363" s="4">
        <v>45863</v>
      </c>
      <c r="H363" s="7">
        <f t="shared" si="15"/>
        <v>1</v>
      </c>
      <c r="I363" t="s">
        <v>23</v>
      </c>
      <c r="J363" t="s">
        <v>204</v>
      </c>
      <c r="K363" s="2">
        <v>2262.27</v>
      </c>
      <c r="L363" s="9">
        <v>1</v>
      </c>
      <c r="M363" s="15">
        <f t="shared" si="16"/>
        <v>2262.27</v>
      </c>
      <c r="N363" s="15">
        <f t="shared" si="17"/>
        <v>0</v>
      </c>
      <c r="O363" t="s">
        <v>15</v>
      </c>
    </row>
    <row r="364" spans="1:15" hidden="1" x14ac:dyDescent="0.35">
      <c r="A364" t="s">
        <v>732</v>
      </c>
      <c r="B364" t="s">
        <v>733</v>
      </c>
      <c r="C364">
        <v>77</v>
      </c>
      <c r="D364" s="8" t="str" cm="1">
        <f t="array" ref="D364">_xlfn.IFS(C364&lt;=2, "Infant", C364&lt;=11, "Child", C364&lt;=17, "Adolescent", C364&lt;=44, "Young Adult", C364&lt;=64, "Middle Aged", C364&lt;=84,"Young Old", C364&gt;=85,"Oldest Old")</f>
        <v>Young Old</v>
      </c>
      <c r="E364" t="s">
        <v>12</v>
      </c>
      <c r="F364" s="4">
        <v>45787</v>
      </c>
      <c r="G364" s="4">
        <v>45793</v>
      </c>
      <c r="H364" s="7">
        <f t="shared" si="15"/>
        <v>6</v>
      </c>
      <c r="I364" t="s">
        <v>70</v>
      </c>
      <c r="J364" t="s">
        <v>157</v>
      </c>
      <c r="K364" s="2">
        <v>15249.23</v>
      </c>
      <c r="L364" s="9">
        <v>0.6</v>
      </c>
      <c r="M364" s="15">
        <f t="shared" si="16"/>
        <v>9149.5379999999986</v>
      </c>
      <c r="N364" s="15">
        <f t="shared" si="17"/>
        <v>6099.6920000000009</v>
      </c>
      <c r="O364" t="s">
        <v>15</v>
      </c>
    </row>
    <row r="365" spans="1:15" hidden="1" x14ac:dyDescent="0.35">
      <c r="A365" t="s">
        <v>734</v>
      </c>
      <c r="B365" t="s">
        <v>735</v>
      </c>
      <c r="C365">
        <v>21</v>
      </c>
      <c r="D365" s="8" t="str" cm="1">
        <f t="array" ref="D365">_xlfn.IFS(C365&lt;=2, "Infant", C365&lt;=11, "Child", C365&lt;=17, "Adolescent", C365&lt;=44, "Young Adult", C365&lt;=64, "Middle Aged", C365&lt;=84,"Young Old", C365&gt;=85,"Oldest Old")</f>
        <v>Young Adult</v>
      </c>
      <c r="E365" t="s">
        <v>18</v>
      </c>
      <c r="F365" s="4">
        <v>45325</v>
      </c>
      <c r="G365" s="4">
        <v>45328</v>
      </c>
      <c r="H365" s="7">
        <f t="shared" si="15"/>
        <v>3</v>
      </c>
      <c r="I365" t="s">
        <v>31</v>
      </c>
      <c r="J365" t="s">
        <v>87</v>
      </c>
      <c r="K365" s="2">
        <v>3947.95</v>
      </c>
      <c r="L365" s="9">
        <v>0.8</v>
      </c>
      <c r="M365" s="15">
        <f t="shared" si="16"/>
        <v>3158.36</v>
      </c>
      <c r="N365" s="15">
        <f t="shared" si="17"/>
        <v>789.58999999999969</v>
      </c>
      <c r="O365" t="s">
        <v>15</v>
      </c>
    </row>
    <row r="366" spans="1:15" hidden="1" x14ac:dyDescent="0.35">
      <c r="A366" t="s">
        <v>736</v>
      </c>
      <c r="B366" t="s">
        <v>737</v>
      </c>
      <c r="C366">
        <v>59</v>
      </c>
      <c r="D366" s="8" t="str" cm="1">
        <f t="array" ref="D366">_xlfn.IFS(C366&lt;=2, "Infant", C366&lt;=11, "Child", C366&lt;=17, "Adolescent", C366&lt;=44, "Young Adult", C366&lt;=64, "Middle Aged", C366&lt;=84,"Young Old", C366&gt;=85,"Oldest Old")</f>
        <v>Middle Aged</v>
      </c>
      <c r="E366" t="s">
        <v>12</v>
      </c>
      <c r="F366" s="4">
        <v>45592</v>
      </c>
      <c r="G366" s="4">
        <v>45605</v>
      </c>
      <c r="H366" s="7">
        <f t="shared" si="15"/>
        <v>13</v>
      </c>
      <c r="I366" t="s">
        <v>60</v>
      </c>
      <c r="J366" t="s">
        <v>61</v>
      </c>
      <c r="K366" s="2">
        <v>35549.129999999997</v>
      </c>
      <c r="L366" s="9">
        <v>1</v>
      </c>
      <c r="M366" s="15">
        <f t="shared" si="16"/>
        <v>35549.129999999997</v>
      </c>
      <c r="N366" s="15">
        <f t="shared" si="17"/>
        <v>0</v>
      </c>
      <c r="O366" t="s">
        <v>20</v>
      </c>
    </row>
    <row r="367" spans="1:15" hidden="1" x14ac:dyDescent="0.35">
      <c r="A367" t="s">
        <v>738</v>
      </c>
      <c r="B367" t="s">
        <v>739</v>
      </c>
      <c r="C367">
        <v>2</v>
      </c>
      <c r="D367" s="8" t="str" cm="1">
        <f t="array" ref="D367">_xlfn.IFS(C367&lt;=2, "Infant", C367&lt;=11, "Child", C367&lt;=17, "Adolescent", C367&lt;=44, "Young Adult", C367&lt;=64, "Middle Aged", C367&lt;=84,"Young Old", C367&gt;=85,"Oldest Old")</f>
        <v>Infant</v>
      </c>
      <c r="E367" t="s">
        <v>12</v>
      </c>
      <c r="F367" s="4">
        <v>45692</v>
      </c>
      <c r="G367" s="4">
        <v>45696</v>
      </c>
      <c r="H367" s="7">
        <f t="shared" si="15"/>
        <v>4</v>
      </c>
      <c r="I367" t="s">
        <v>49</v>
      </c>
      <c r="J367" t="s">
        <v>120</v>
      </c>
      <c r="K367" s="2">
        <v>7038.14</v>
      </c>
      <c r="L367" s="9">
        <v>0.7</v>
      </c>
      <c r="M367" s="15">
        <f t="shared" si="16"/>
        <v>4926.6980000000003</v>
      </c>
      <c r="N367" s="15">
        <f t="shared" si="17"/>
        <v>2111.442</v>
      </c>
      <c r="O367" t="s">
        <v>25</v>
      </c>
    </row>
    <row r="368" spans="1:15" hidden="1" x14ac:dyDescent="0.35">
      <c r="A368" t="s">
        <v>740</v>
      </c>
      <c r="B368" t="s">
        <v>741</v>
      </c>
      <c r="C368">
        <v>77</v>
      </c>
      <c r="D368" s="8" t="str" cm="1">
        <f t="array" ref="D368">_xlfn.IFS(C368&lt;=2, "Infant", C368&lt;=11, "Child", C368&lt;=17, "Adolescent", C368&lt;=44, "Young Adult", C368&lt;=64, "Middle Aged", C368&lt;=84,"Young Old", C368&gt;=85,"Oldest Old")</f>
        <v>Young Old</v>
      </c>
      <c r="E368" t="s">
        <v>12</v>
      </c>
      <c r="F368" s="4">
        <v>45971</v>
      </c>
      <c r="G368" s="4">
        <v>45980</v>
      </c>
      <c r="H368" s="7">
        <f t="shared" si="15"/>
        <v>9</v>
      </c>
      <c r="I368" t="s">
        <v>13</v>
      </c>
      <c r="J368" t="s">
        <v>165</v>
      </c>
      <c r="K368" s="2">
        <v>14877.84</v>
      </c>
      <c r="L368" s="9">
        <v>1</v>
      </c>
      <c r="M368" s="15">
        <f t="shared" si="16"/>
        <v>14877.84</v>
      </c>
      <c r="N368" s="15">
        <f t="shared" si="17"/>
        <v>0</v>
      </c>
      <c r="O368" t="s">
        <v>20</v>
      </c>
    </row>
    <row r="369" spans="1:15" hidden="1" x14ac:dyDescent="0.35">
      <c r="A369" t="s">
        <v>742</v>
      </c>
      <c r="B369" t="s">
        <v>146</v>
      </c>
      <c r="C369">
        <v>30</v>
      </c>
      <c r="D369" s="8" t="str" cm="1">
        <f t="array" ref="D369">_xlfn.IFS(C369&lt;=2, "Infant", C369&lt;=11, "Child", C369&lt;=17, "Adolescent", C369&lt;=44, "Young Adult", C369&lt;=64, "Middle Aged", C369&lt;=84,"Young Old", C369&gt;=85,"Oldest Old")</f>
        <v>Young Adult</v>
      </c>
      <c r="E369" t="s">
        <v>12</v>
      </c>
      <c r="F369" s="4">
        <v>45845</v>
      </c>
      <c r="G369" s="4">
        <v>45856</v>
      </c>
      <c r="H369" s="7">
        <f t="shared" si="15"/>
        <v>11</v>
      </c>
      <c r="I369" t="s">
        <v>60</v>
      </c>
      <c r="J369" t="s">
        <v>61</v>
      </c>
      <c r="K369" s="2">
        <v>14678.51</v>
      </c>
      <c r="L369" s="9">
        <v>0.6</v>
      </c>
      <c r="M369" s="15">
        <f t="shared" si="16"/>
        <v>8807.1059999999998</v>
      </c>
      <c r="N369" s="15">
        <f t="shared" si="17"/>
        <v>5871.4040000000005</v>
      </c>
      <c r="O369" t="s">
        <v>20</v>
      </c>
    </row>
    <row r="370" spans="1:15" hidden="1" x14ac:dyDescent="0.35">
      <c r="A370" t="s">
        <v>743</v>
      </c>
      <c r="B370" t="s">
        <v>744</v>
      </c>
      <c r="C370">
        <v>42</v>
      </c>
      <c r="D370" s="8" t="str" cm="1">
        <f t="array" ref="D370">_xlfn.IFS(C370&lt;=2, "Infant", C370&lt;=11, "Child", C370&lt;=17, "Adolescent", C370&lt;=44, "Young Adult", C370&lt;=64, "Middle Aged", C370&lt;=84,"Young Old", C370&gt;=85,"Oldest Old")</f>
        <v>Young Adult</v>
      </c>
      <c r="E370" t="s">
        <v>12</v>
      </c>
      <c r="F370" s="4">
        <v>46002</v>
      </c>
      <c r="G370" s="4">
        <v>46004</v>
      </c>
      <c r="H370" s="7">
        <f t="shared" si="15"/>
        <v>2</v>
      </c>
      <c r="I370" t="s">
        <v>23</v>
      </c>
      <c r="J370" t="s">
        <v>204</v>
      </c>
      <c r="K370" s="2">
        <v>3466.32</v>
      </c>
      <c r="L370" s="9">
        <v>0.7</v>
      </c>
      <c r="M370" s="15">
        <f t="shared" si="16"/>
        <v>2426.424</v>
      </c>
      <c r="N370" s="15">
        <f t="shared" si="17"/>
        <v>1039.8960000000002</v>
      </c>
      <c r="O370" t="s">
        <v>15</v>
      </c>
    </row>
    <row r="371" spans="1:15" hidden="1" x14ac:dyDescent="0.35">
      <c r="A371" t="s">
        <v>745</v>
      </c>
      <c r="B371" t="s">
        <v>746</v>
      </c>
      <c r="C371">
        <v>59</v>
      </c>
      <c r="D371" s="8" t="str" cm="1">
        <f t="array" ref="D371">_xlfn.IFS(C371&lt;=2, "Infant", C371&lt;=11, "Child", C371&lt;=17, "Adolescent", C371&lt;=44, "Young Adult", C371&lt;=64, "Middle Aged", C371&lt;=84,"Young Old", C371&gt;=85,"Oldest Old")</f>
        <v>Middle Aged</v>
      </c>
      <c r="E371" t="s">
        <v>12</v>
      </c>
      <c r="F371" s="4">
        <v>45530</v>
      </c>
      <c r="G371" s="4">
        <v>45544</v>
      </c>
      <c r="H371" s="7">
        <f t="shared" si="15"/>
        <v>14</v>
      </c>
      <c r="I371" t="s">
        <v>60</v>
      </c>
      <c r="J371" t="s">
        <v>97</v>
      </c>
      <c r="K371" s="2">
        <v>21123.25</v>
      </c>
      <c r="L371" s="9">
        <v>0.8</v>
      </c>
      <c r="M371" s="15">
        <f t="shared" si="16"/>
        <v>16898.600000000002</v>
      </c>
      <c r="N371" s="15">
        <f t="shared" si="17"/>
        <v>4224.6499999999978</v>
      </c>
      <c r="O371" t="s">
        <v>15</v>
      </c>
    </row>
    <row r="372" spans="1:15" hidden="1" x14ac:dyDescent="0.35">
      <c r="A372" t="s">
        <v>747</v>
      </c>
      <c r="B372" t="s">
        <v>748</v>
      </c>
      <c r="C372">
        <v>7</v>
      </c>
      <c r="D372" s="8" t="str" cm="1">
        <f t="array" ref="D372">_xlfn.IFS(C372&lt;=2, "Infant", C372&lt;=11, "Child", C372&lt;=17, "Adolescent", C372&lt;=44, "Young Adult", C372&lt;=64, "Middle Aged", C372&lt;=84,"Young Old", C372&gt;=85,"Oldest Old")</f>
        <v>Child</v>
      </c>
      <c r="E372" t="s">
        <v>12</v>
      </c>
      <c r="F372" s="4">
        <v>45729</v>
      </c>
      <c r="G372" s="4">
        <v>45734</v>
      </c>
      <c r="H372" s="7">
        <f t="shared" si="15"/>
        <v>5</v>
      </c>
      <c r="I372" t="s">
        <v>49</v>
      </c>
      <c r="J372" t="s">
        <v>117</v>
      </c>
      <c r="K372" s="2">
        <v>5585.79</v>
      </c>
      <c r="L372" s="9">
        <v>0</v>
      </c>
      <c r="M372" s="15">
        <f t="shared" si="16"/>
        <v>0</v>
      </c>
      <c r="N372" s="15">
        <f t="shared" si="17"/>
        <v>5585.79</v>
      </c>
      <c r="O372" t="s">
        <v>25</v>
      </c>
    </row>
    <row r="373" spans="1:15" hidden="1" x14ac:dyDescent="0.35">
      <c r="A373" t="s">
        <v>749</v>
      </c>
      <c r="B373" t="s">
        <v>750</v>
      </c>
      <c r="C373">
        <v>37</v>
      </c>
      <c r="D373" s="8" t="str" cm="1">
        <f t="array" ref="D373">_xlfn.IFS(C373&lt;=2, "Infant", C373&lt;=11, "Child", C373&lt;=17, "Adolescent", C373&lt;=44, "Young Adult", C373&lt;=64, "Middle Aged", C373&lt;=84,"Young Old", C373&gt;=85,"Oldest Old")</f>
        <v>Young Adult</v>
      </c>
      <c r="E373" t="s">
        <v>18</v>
      </c>
      <c r="F373" s="4">
        <v>45548</v>
      </c>
      <c r="G373" s="4">
        <v>45553</v>
      </c>
      <c r="H373" s="7">
        <f t="shared" si="15"/>
        <v>5</v>
      </c>
      <c r="I373" t="s">
        <v>31</v>
      </c>
      <c r="J373" t="s">
        <v>87</v>
      </c>
      <c r="K373" s="2">
        <v>6953.83</v>
      </c>
      <c r="L373" s="9">
        <v>0.9</v>
      </c>
      <c r="M373" s="15">
        <f t="shared" si="16"/>
        <v>6258.4470000000001</v>
      </c>
      <c r="N373" s="15">
        <f t="shared" si="17"/>
        <v>695.38299999999981</v>
      </c>
      <c r="O373" t="s">
        <v>20</v>
      </c>
    </row>
    <row r="374" spans="1:15" hidden="1" x14ac:dyDescent="0.35">
      <c r="A374" t="s">
        <v>751</v>
      </c>
      <c r="B374" t="s">
        <v>752</v>
      </c>
      <c r="C374">
        <v>33</v>
      </c>
      <c r="D374" s="8" t="str" cm="1">
        <f t="array" ref="D374">_xlfn.IFS(C374&lt;=2, "Infant", C374&lt;=11, "Child", C374&lt;=17, "Adolescent", C374&lt;=44, "Young Adult", C374&lt;=64, "Middle Aged", C374&lt;=84,"Young Old", C374&gt;=85,"Oldest Old")</f>
        <v>Young Adult</v>
      </c>
      <c r="E374" t="s">
        <v>18</v>
      </c>
      <c r="F374" s="4">
        <v>45659</v>
      </c>
      <c r="G374" s="4">
        <v>45660</v>
      </c>
      <c r="H374" s="7">
        <f t="shared" si="15"/>
        <v>1</v>
      </c>
      <c r="I374" t="s">
        <v>23</v>
      </c>
      <c r="J374" t="s">
        <v>41</v>
      </c>
      <c r="K374" s="2">
        <v>2224.13</v>
      </c>
      <c r="L374" s="9">
        <v>0.7</v>
      </c>
      <c r="M374" s="15">
        <f t="shared" si="16"/>
        <v>1556.8910000000001</v>
      </c>
      <c r="N374" s="15">
        <f t="shared" si="17"/>
        <v>667.23900000000003</v>
      </c>
      <c r="O374" t="s">
        <v>15</v>
      </c>
    </row>
    <row r="375" spans="1:15" hidden="1" x14ac:dyDescent="0.35">
      <c r="A375" t="s">
        <v>753</v>
      </c>
      <c r="B375" t="s">
        <v>635</v>
      </c>
      <c r="C375">
        <v>76</v>
      </c>
      <c r="D375" s="8" t="str" cm="1">
        <f t="array" ref="D375">_xlfn.IFS(C375&lt;=2, "Infant", C375&lt;=11, "Child", C375&lt;=17, "Adolescent", C375&lt;=44, "Young Adult", C375&lt;=64, "Middle Aged", C375&lt;=84,"Young Old", C375&gt;=85,"Oldest Old")</f>
        <v>Young Old</v>
      </c>
      <c r="E375" t="s">
        <v>12</v>
      </c>
      <c r="F375" s="4">
        <v>45768</v>
      </c>
      <c r="G375" s="4">
        <v>45774</v>
      </c>
      <c r="H375" s="7">
        <f t="shared" si="15"/>
        <v>6</v>
      </c>
      <c r="I375" t="s">
        <v>13</v>
      </c>
      <c r="J375" t="s">
        <v>38</v>
      </c>
      <c r="K375" s="2">
        <v>11111.41</v>
      </c>
      <c r="L375" s="9">
        <v>0.7</v>
      </c>
      <c r="M375" s="15">
        <f t="shared" si="16"/>
        <v>7777.9869999999992</v>
      </c>
      <c r="N375" s="15">
        <f t="shared" si="17"/>
        <v>3333.4230000000007</v>
      </c>
      <c r="O375" t="s">
        <v>15</v>
      </c>
    </row>
    <row r="376" spans="1:15" hidden="1" x14ac:dyDescent="0.35">
      <c r="A376" t="s">
        <v>754</v>
      </c>
      <c r="B376" t="s">
        <v>741</v>
      </c>
      <c r="C376">
        <v>31</v>
      </c>
      <c r="D376" s="8" t="str" cm="1">
        <f t="array" ref="D376">_xlfn.IFS(C376&lt;=2, "Infant", C376&lt;=11, "Child", C376&lt;=17, "Adolescent", C376&lt;=44, "Young Adult", C376&lt;=64, "Middle Aged", C376&lt;=84,"Young Old", C376&gt;=85,"Oldest Old")</f>
        <v>Young Adult</v>
      </c>
      <c r="E376" t="s">
        <v>12</v>
      </c>
      <c r="F376" s="4">
        <v>45547</v>
      </c>
      <c r="G376" s="4">
        <v>45554</v>
      </c>
      <c r="H376" s="7">
        <f t="shared" si="15"/>
        <v>7</v>
      </c>
      <c r="I376" t="s">
        <v>31</v>
      </c>
      <c r="J376" t="s">
        <v>44</v>
      </c>
      <c r="K376" s="2">
        <v>8312.57</v>
      </c>
      <c r="L376" s="9">
        <v>0.7</v>
      </c>
      <c r="M376" s="15">
        <f t="shared" si="16"/>
        <v>5818.7989999999991</v>
      </c>
      <c r="N376" s="15">
        <f t="shared" si="17"/>
        <v>2493.7710000000006</v>
      </c>
      <c r="O376" t="s">
        <v>15</v>
      </c>
    </row>
    <row r="377" spans="1:15" hidden="1" x14ac:dyDescent="0.35">
      <c r="A377" t="s">
        <v>755</v>
      </c>
      <c r="B377" t="s">
        <v>516</v>
      </c>
      <c r="C377">
        <v>36</v>
      </c>
      <c r="D377" s="8" t="str" cm="1">
        <f t="array" ref="D377">_xlfn.IFS(C377&lt;=2, "Infant", C377&lt;=11, "Child", C377&lt;=17, "Adolescent", C377&lt;=44, "Young Adult", C377&lt;=64, "Middle Aged", C377&lt;=84,"Young Old", C377&gt;=85,"Oldest Old")</f>
        <v>Young Adult</v>
      </c>
      <c r="E377" t="s">
        <v>12</v>
      </c>
      <c r="F377" s="4">
        <v>45595</v>
      </c>
      <c r="G377" s="4">
        <v>45600</v>
      </c>
      <c r="H377" s="7">
        <f t="shared" si="15"/>
        <v>5</v>
      </c>
      <c r="I377" t="s">
        <v>31</v>
      </c>
      <c r="J377" t="s">
        <v>234</v>
      </c>
      <c r="K377" s="2">
        <v>4633.5</v>
      </c>
      <c r="L377" s="9">
        <v>0.9</v>
      </c>
      <c r="M377" s="15">
        <f t="shared" si="16"/>
        <v>4170.1500000000005</v>
      </c>
      <c r="N377" s="15">
        <f t="shared" si="17"/>
        <v>463.34999999999945</v>
      </c>
      <c r="O377" t="s">
        <v>15</v>
      </c>
    </row>
    <row r="378" spans="1:15" hidden="1" x14ac:dyDescent="0.35">
      <c r="A378" t="s">
        <v>756</v>
      </c>
      <c r="B378" t="s">
        <v>757</v>
      </c>
      <c r="C378">
        <v>29</v>
      </c>
      <c r="D378" s="8" t="str" cm="1">
        <f t="array" ref="D378">_xlfn.IFS(C378&lt;=2, "Infant", C378&lt;=11, "Child", C378&lt;=17, "Adolescent", C378&lt;=44, "Young Adult", C378&lt;=64, "Middle Aged", C378&lt;=84,"Young Old", C378&gt;=85,"Oldest Old")</f>
        <v>Young Adult</v>
      </c>
      <c r="E378" t="s">
        <v>18</v>
      </c>
      <c r="F378" s="4">
        <v>45590</v>
      </c>
      <c r="G378" s="4">
        <v>45593</v>
      </c>
      <c r="H378" s="7">
        <f t="shared" si="15"/>
        <v>3</v>
      </c>
      <c r="I378" t="s">
        <v>60</v>
      </c>
      <c r="J378" t="s">
        <v>77</v>
      </c>
      <c r="K378" s="2">
        <v>6028.31</v>
      </c>
      <c r="L378" s="9">
        <v>0.8</v>
      </c>
      <c r="M378" s="15">
        <f t="shared" si="16"/>
        <v>4822.6480000000001</v>
      </c>
      <c r="N378" s="15">
        <f t="shared" si="17"/>
        <v>1205.6620000000003</v>
      </c>
      <c r="O378" t="s">
        <v>25</v>
      </c>
    </row>
    <row r="379" spans="1:15" hidden="1" x14ac:dyDescent="0.35">
      <c r="A379" t="s">
        <v>758</v>
      </c>
      <c r="B379" t="s">
        <v>759</v>
      </c>
      <c r="C379">
        <v>64</v>
      </c>
      <c r="D379" s="8" t="str" cm="1">
        <f t="array" ref="D379">_xlfn.IFS(C379&lt;=2, "Infant", C379&lt;=11, "Child", C379&lt;=17, "Adolescent", C379&lt;=44, "Young Adult", C379&lt;=64, "Middle Aged", C379&lt;=84,"Young Old", C379&gt;=85,"Oldest Old")</f>
        <v>Middle Aged</v>
      </c>
      <c r="E379" t="s">
        <v>12</v>
      </c>
      <c r="F379" s="4">
        <v>45385</v>
      </c>
      <c r="G379" s="4">
        <v>45390</v>
      </c>
      <c r="H379" s="7">
        <f t="shared" si="15"/>
        <v>5</v>
      </c>
      <c r="I379" t="s">
        <v>70</v>
      </c>
      <c r="J379" t="s">
        <v>94</v>
      </c>
      <c r="K379" s="2">
        <v>6224.81</v>
      </c>
      <c r="L379" s="9">
        <v>0.7</v>
      </c>
      <c r="M379" s="15">
        <f t="shared" si="16"/>
        <v>4357.3670000000002</v>
      </c>
      <c r="N379" s="15">
        <f t="shared" si="17"/>
        <v>1867.4430000000002</v>
      </c>
      <c r="O379" t="s">
        <v>25</v>
      </c>
    </row>
    <row r="380" spans="1:15" hidden="1" x14ac:dyDescent="0.35">
      <c r="A380" t="s">
        <v>760</v>
      </c>
      <c r="B380" t="s">
        <v>492</v>
      </c>
      <c r="C380">
        <v>44</v>
      </c>
      <c r="D380" s="8" t="str" cm="1">
        <f t="array" ref="D380">_xlfn.IFS(C380&lt;=2, "Infant", C380&lt;=11, "Child", C380&lt;=17, "Adolescent", C380&lt;=44, "Young Adult", C380&lt;=64, "Middle Aged", C380&lt;=84,"Young Old", C380&gt;=85,"Oldest Old")</f>
        <v>Young Adult</v>
      </c>
      <c r="E380" t="s">
        <v>12</v>
      </c>
      <c r="F380" s="4">
        <v>45500</v>
      </c>
      <c r="G380" s="4">
        <v>45511</v>
      </c>
      <c r="H380" s="7">
        <f t="shared" si="15"/>
        <v>11</v>
      </c>
      <c r="I380" t="s">
        <v>60</v>
      </c>
      <c r="J380" t="s">
        <v>61</v>
      </c>
      <c r="K380" s="2">
        <v>18959.16</v>
      </c>
      <c r="L380" s="9">
        <v>0.6</v>
      </c>
      <c r="M380" s="15">
        <f t="shared" si="16"/>
        <v>11375.495999999999</v>
      </c>
      <c r="N380" s="15">
        <f t="shared" si="17"/>
        <v>7583.6640000000007</v>
      </c>
      <c r="O380" t="s">
        <v>15</v>
      </c>
    </row>
    <row r="381" spans="1:15" x14ac:dyDescent="0.35">
      <c r="A381" t="s">
        <v>761</v>
      </c>
      <c r="B381" t="s">
        <v>762</v>
      </c>
      <c r="C381">
        <v>77</v>
      </c>
      <c r="D381" s="8" t="str" cm="1">
        <f t="array" ref="D381">_xlfn.IFS(C381&lt;=2, "Infant", C381&lt;=11, "Child", C381&lt;=17, "Adolescent", C381&lt;=44, "Young Adult", C381&lt;=64, "Middle Aged", C381&lt;=84,"Young Old", C381&gt;=85,"Oldest Old")</f>
        <v>Young Old</v>
      </c>
      <c r="E381" t="s">
        <v>18</v>
      </c>
      <c r="F381" s="4">
        <v>45378</v>
      </c>
      <c r="G381" s="4">
        <v>45380</v>
      </c>
      <c r="H381" s="7">
        <f t="shared" si="15"/>
        <v>2</v>
      </c>
      <c r="I381" t="s">
        <v>31</v>
      </c>
      <c r="J381" t="s">
        <v>32</v>
      </c>
      <c r="K381" s="2">
        <v>2123.39</v>
      </c>
      <c r="L381" s="9">
        <v>0.8</v>
      </c>
      <c r="M381" s="15">
        <f t="shared" si="16"/>
        <v>1698.712</v>
      </c>
      <c r="N381" s="15">
        <f t="shared" si="17"/>
        <v>424.67799999999988</v>
      </c>
      <c r="O381" t="s">
        <v>15</v>
      </c>
    </row>
    <row r="382" spans="1:15" hidden="1" x14ac:dyDescent="0.35">
      <c r="A382" t="s">
        <v>763</v>
      </c>
      <c r="B382" t="s">
        <v>764</v>
      </c>
      <c r="C382">
        <v>51</v>
      </c>
      <c r="D382" s="8" t="str" cm="1">
        <f t="array" ref="D382">_xlfn.IFS(C382&lt;=2, "Infant", C382&lt;=11, "Child", C382&lt;=17, "Adolescent", C382&lt;=44, "Young Adult", C382&lt;=64, "Middle Aged", C382&lt;=84,"Young Old", C382&gt;=85,"Oldest Old")</f>
        <v>Middle Aged</v>
      </c>
      <c r="E382" t="s">
        <v>18</v>
      </c>
      <c r="F382" s="4">
        <v>45535</v>
      </c>
      <c r="G382" s="4">
        <v>45537</v>
      </c>
      <c r="H382" s="7">
        <f t="shared" si="15"/>
        <v>2</v>
      </c>
      <c r="I382" t="s">
        <v>60</v>
      </c>
      <c r="J382" t="s">
        <v>77</v>
      </c>
      <c r="K382" s="2">
        <v>4043.37</v>
      </c>
      <c r="L382" s="9">
        <v>1</v>
      </c>
      <c r="M382" s="15">
        <f t="shared" si="16"/>
        <v>4043.37</v>
      </c>
      <c r="N382" s="15">
        <f t="shared" si="17"/>
        <v>0</v>
      </c>
      <c r="O382" t="s">
        <v>15</v>
      </c>
    </row>
    <row r="383" spans="1:15" hidden="1" x14ac:dyDescent="0.35">
      <c r="A383" t="s">
        <v>765</v>
      </c>
      <c r="B383" t="s">
        <v>766</v>
      </c>
      <c r="C383">
        <v>4</v>
      </c>
      <c r="D383" s="8" t="str" cm="1">
        <f t="array" ref="D383">_xlfn.IFS(C383&lt;=2, "Infant", C383&lt;=11, "Child", C383&lt;=17, "Adolescent", C383&lt;=44, "Young Adult", C383&lt;=64, "Middle Aged", C383&lt;=84,"Young Old", C383&gt;=85,"Oldest Old")</f>
        <v>Child</v>
      </c>
      <c r="E383" t="s">
        <v>12</v>
      </c>
      <c r="F383" s="4">
        <v>45670</v>
      </c>
      <c r="G383" s="4">
        <v>45671</v>
      </c>
      <c r="H383" s="7">
        <f t="shared" si="15"/>
        <v>1</v>
      </c>
      <c r="I383" t="s">
        <v>49</v>
      </c>
      <c r="J383" t="s">
        <v>123</v>
      </c>
      <c r="K383" s="2">
        <v>843.6</v>
      </c>
      <c r="L383" s="9">
        <v>0.7</v>
      </c>
      <c r="M383" s="15">
        <f t="shared" si="16"/>
        <v>590.52</v>
      </c>
      <c r="N383" s="15">
        <f t="shared" si="17"/>
        <v>253.08000000000004</v>
      </c>
      <c r="O383" t="s">
        <v>25</v>
      </c>
    </row>
    <row r="384" spans="1:15" hidden="1" x14ac:dyDescent="0.35">
      <c r="A384" t="s">
        <v>767</v>
      </c>
      <c r="B384" t="s">
        <v>538</v>
      </c>
      <c r="C384">
        <v>37</v>
      </c>
      <c r="D384" s="8" t="str" cm="1">
        <f t="array" ref="D384">_xlfn.IFS(C384&lt;=2, "Infant", C384&lt;=11, "Child", C384&lt;=17, "Adolescent", C384&lt;=44, "Young Adult", C384&lt;=64, "Middle Aged", C384&lt;=84,"Young Old", C384&gt;=85,"Oldest Old")</f>
        <v>Young Adult</v>
      </c>
      <c r="E384" t="s">
        <v>18</v>
      </c>
      <c r="F384" s="4">
        <v>46012</v>
      </c>
      <c r="G384" s="4">
        <v>46016</v>
      </c>
      <c r="H384" s="7">
        <f t="shared" si="15"/>
        <v>4</v>
      </c>
      <c r="I384" t="s">
        <v>31</v>
      </c>
      <c r="J384" t="s">
        <v>114</v>
      </c>
      <c r="K384" s="2">
        <v>2561.88</v>
      </c>
      <c r="L384" s="9">
        <v>0.7</v>
      </c>
      <c r="M384" s="15">
        <f t="shared" si="16"/>
        <v>1793.316</v>
      </c>
      <c r="N384" s="15">
        <f t="shared" si="17"/>
        <v>768.56400000000008</v>
      </c>
      <c r="O384" t="s">
        <v>15</v>
      </c>
    </row>
    <row r="385" spans="1:15" hidden="1" x14ac:dyDescent="0.35">
      <c r="A385" t="s">
        <v>768</v>
      </c>
      <c r="B385" t="s">
        <v>769</v>
      </c>
      <c r="C385">
        <v>21</v>
      </c>
      <c r="D385" s="8" t="str" cm="1">
        <f t="array" ref="D385">_xlfn.IFS(C385&lt;=2, "Infant", C385&lt;=11, "Child", C385&lt;=17, "Adolescent", C385&lt;=44, "Young Adult", C385&lt;=64, "Middle Aged", C385&lt;=84,"Young Old", C385&gt;=85,"Oldest Old")</f>
        <v>Young Adult</v>
      </c>
      <c r="E385" t="s">
        <v>18</v>
      </c>
      <c r="F385" s="4">
        <v>45293</v>
      </c>
      <c r="G385" s="4">
        <v>45294</v>
      </c>
      <c r="H385" s="7">
        <f t="shared" si="15"/>
        <v>1</v>
      </c>
      <c r="I385" t="s">
        <v>23</v>
      </c>
      <c r="J385" t="s">
        <v>28</v>
      </c>
      <c r="K385" s="2">
        <v>1511.32</v>
      </c>
      <c r="L385" s="9">
        <v>0.8</v>
      </c>
      <c r="M385" s="15">
        <f t="shared" si="16"/>
        <v>1209.056</v>
      </c>
      <c r="N385" s="15">
        <f t="shared" si="17"/>
        <v>302.2639999999999</v>
      </c>
      <c r="O385" t="s">
        <v>20</v>
      </c>
    </row>
    <row r="386" spans="1:15" hidden="1" x14ac:dyDescent="0.35">
      <c r="A386" t="s">
        <v>770</v>
      </c>
      <c r="B386" t="s">
        <v>179</v>
      </c>
      <c r="C386">
        <v>55</v>
      </c>
      <c r="D386" s="8" t="str" cm="1">
        <f t="array" ref="D386">_xlfn.IFS(C386&lt;=2, "Infant", C386&lt;=11, "Child", C386&lt;=17, "Adolescent", C386&lt;=44, "Young Adult", C386&lt;=64, "Middle Aged", C386&lt;=84,"Young Old", C386&gt;=85,"Oldest Old")</f>
        <v>Middle Aged</v>
      </c>
      <c r="E386" t="s">
        <v>12</v>
      </c>
      <c r="F386" s="4">
        <v>45930</v>
      </c>
      <c r="G386" s="4">
        <v>45944</v>
      </c>
      <c r="H386" s="7">
        <f t="shared" si="15"/>
        <v>14</v>
      </c>
      <c r="I386" t="s">
        <v>60</v>
      </c>
      <c r="J386" t="s">
        <v>61</v>
      </c>
      <c r="K386" s="2">
        <v>27685.69</v>
      </c>
      <c r="L386" s="9">
        <v>0.7</v>
      </c>
      <c r="M386" s="15">
        <f t="shared" si="16"/>
        <v>19379.982999999997</v>
      </c>
      <c r="N386" s="15">
        <f t="shared" si="17"/>
        <v>8305.7070000000022</v>
      </c>
      <c r="O386" t="s">
        <v>15</v>
      </c>
    </row>
    <row r="387" spans="1:15" hidden="1" x14ac:dyDescent="0.35">
      <c r="A387" t="s">
        <v>771</v>
      </c>
      <c r="B387" t="s">
        <v>772</v>
      </c>
      <c r="C387">
        <v>24</v>
      </c>
      <c r="D387" s="8" t="str" cm="1">
        <f t="array" ref="D387">_xlfn.IFS(C387&lt;=2, "Infant", C387&lt;=11, "Child", C387&lt;=17, "Adolescent", C387&lt;=44, "Young Adult", C387&lt;=64, "Middle Aged", C387&lt;=84,"Young Old", C387&gt;=85,"Oldest Old")</f>
        <v>Young Adult</v>
      </c>
      <c r="E387" t="s">
        <v>12</v>
      </c>
      <c r="F387" s="4">
        <v>45591</v>
      </c>
      <c r="G387" s="4">
        <v>45595</v>
      </c>
      <c r="H387" s="7">
        <f t="shared" ref="H387:H450" si="18">DATEDIF(F387,G387,"D")</f>
        <v>4</v>
      </c>
      <c r="I387" t="s">
        <v>31</v>
      </c>
      <c r="J387" t="s">
        <v>87</v>
      </c>
      <c r="K387" s="2">
        <v>3028.33</v>
      </c>
      <c r="L387" s="9">
        <v>0.7</v>
      </c>
      <c r="M387" s="15">
        <f t="shared" ref="M387:M450" si="19">L387*K387</f>
        <v>2119.8309999999997</v>
      </c>
      <c r="N387" s="15">
        <f t="shared" ref="N387:N450" si="20">K387-M387</f>
        <v>908.49900000000025</v>
      </c>
      <c r="O387" t="s">
        <v>20</v>
      </c>
    </row>
    <row r="388" spans="1:15" hidden="1" x14ac:dyDescent="0.35">
      <c r="A388" t="s">
        <v>773</v>
      </c>
      <c r="B388" t="s">
        <v>774</v>
      </c>
      <c r="C388">
        <v>70</v>
      </c>
      <c r="D388" s="8" t="str" cm="1">
        <f t="array" ref="D388">_xlfn.IFS(C388&lt;=2, "Infant", C388&lt;=11, "Child", C388&lt;=17, "Adolescent", C388&lt;=44, "Young Adult", C388&lt;=64, "Middle Aged", C388&lt;=84,"Young Old", C388&gt;=85,"Oldest Old")</f>
        <v>Young Old</v>
      </c>
      <c r="E388" t="s">
        <v>12</v>
      </c>
      <c r="F388" s="4">
        <v>45751</v>
      </c>
      <c r="G388" s="4">
        <v>45765</v>
      </c>
      <c r="H388" s="7">
        <f t="shared" si="18"/>
        <v>14</v>
      </c>
      <c r="I388" t="s">
        <v>60</v>
      </c>
      <c r="J388" t="s">
        <v>74</v>
      </c>
      <c r="K388" s="2">
        <v>37544.019999999997</v>
      </c>
      <c r="L388" s="9">
        <v>0.8</v>
      </c>
      <c r="M388" s="15">
        <f t="shared" si="19"/>
        <v>30035.216</v>
      </c>
      <c r="N388" s="15">
        <f t="shared" si="20"/>
        <v>7508.8039999999964</v>
      </c>
      <c r="O388" t="s">
        <v>15</v>
      </c>
    </row>
    <row r="389" spans="1:15" hidden="1" x14ac:dyDescent="0.35">
      <c r="A389" t="s">
        <v>775</v>
      </c>
      <c r="B389" t="s">
        <v>776</v>
      </c>
      <c r="C389">
        <v>32</v>
      </c>
      <c r="D389" s="8" t="str" cm="1">
        <f t="array" ref="D389">_xlfn.IFS(C389&lt;=2, "Infant", C389&lt;=11, "Child", C389&lt;=17, "Adolescent", C389&lt;=44, "Young Adult", C389&lt;=64, "Middle Aged", C389&lt;=84,"Young Old", C389&gt;=85,"Oldest Old")</f>
        <v>Young Adult</v>
      </c>
      <c r="E389" t="s">
        <v>12</v>
      </c>
      <c r="F389" s="4">
        <v>45444</v>
      </c>
      <c r="G389" s="4">
        <v>45451</v>
      </c>
      <c r="H389" s="7">
        <f t="shared" si="18"/>
        <v>7</v>
      </c>
      <c r="I389" t="s">
        <v>70</v>
      </c>
      <c r="J389" t="s">
        <v>157</v>
      </c>
      <c r="K389" s="2">
        <v>17899.3</v>
      </c>
      <c r="L389" s="9">
        <v>0.7</v>
      </c>
      <c r="M389" s="15">
        <f t="shared" si="19"/>
        <v>12529.509999999998</v>
      </c>
      <c r="N389" s="15">
        <f t="shared" si="20"/>
        <v>5369.7900000000009</v>
      </c>
      <c r="O389" t="s">
        <v>25</v>
      </c>
    </row>
    <row r="390" spans="1:15" hidden="1" x14ac:dyDescent="0.35">
      <c r="A390" t="s">
        <v>777</v>
      </c>
      <c r="B390" t="s">
        <v>778</v>
      </c>
      <c r="C390">
        <v>11</v>
      </c>
      <c r="D390" s="8" t="str" cm="1">
        <f t="array" ref="D390">_xlfn.IFS(C390&lt;=2, "Infant", C390&lt;=11, "Child", C390&lt;=17, "Adolescent", C390&lt;=44, "Young Adult", C390&lt;=64, "Middle Aged", C390&lt;=84,"Young Old", C390&gt;=85,"Oldest Old")</f>
        <v>Child</v>
      </c>
      <c r="E390" t="s">
        <v>12</v>
      </c>
      <c r="F390" s="4">
        <v>46010</v>
      </c>
      <c r="G390" s="4">
        <v>46013</v>
      </c>
      <c r="H390" s="7">
        <f t="shared" si="18"/>
        <v>3</v>
      </c>
      <c r="I390" t="s">
        <v>49</v>
      </c>
      <c r="J390" t="s">
        <v>50</v>
      </c>
      <c r="K390" s="2">
        <v>5297.21</v>
      </c>
      <c r="L390" s="9">
        <v>0.8</v>
      </c>
      <c r="M390" s="15">
        <f t="shared" si="19"/>
        <v>4237.768</v>
      </c>
      <c r="N390" s="15">
        <f t="shared" si="20"/>
        <v>1059.442</v>
      </c>
      <c r="O390" t="s">
        <v>15</v>
      </c>
    </row>
    <row r="391" spans="1:15" hidden="1" x14ac:dyDescent="0.35">
      <c r="A391" t="s">
        <v>779</v>
      </c>
      <c r="B391" t="s">
        <v>780</v>
      </c>
      <c r="C391">
        <v>46</v>
      </c>
      <c r="D391" s="8" t="str" cm="1">
        <f t="array" ref="D391">_xlfn.IFS(C391&lt;=2, "Infant", C391&lt;=11, "Child", C391&lt;=17, "Adolescent", C391&lt;=44, "Young Adult", C391&lt;=64, "Middle Aged", C391&lt;=84,"Young Old", C391&gt;=85,"Oldest Old")</f>
        <v>Middle Aged</v>
      </c>
      <c r="E391" t="s">
        <v>12</v>
      </c>
      <c r="F391" s="4">
        <v>45305</v>
      </c>
      <c r="G391" s="4">
        <v>45313</v>
      </c>
      <c r="H391" s="7">
        <f t="shared" si="18"/>
        <v>8</v>
      </c>
      <c r="I391" t="s">
        <v>13</v>
      </c>
      <c r="J391" t="s">
        <v>102</v>
      </c>
      <c r="K391" s="2">
        <v>10640.24</v>
      </c>
      <c r="L391" s="9">
        <v>0</v>
      </c>
      <c r="M391" s="15">
        <f t="shared" si="19"/>
        <v>0</v>
      </c>
      <c r="N391" s="15">
        <f t="shared" si="20"/>
        <v>10640.24</v>
      </c>
      <c r="O391" t="s">
        <v>25</v>
      </c>
    </row>
    <row r="392" spans="1:15" hidden="1" x14ac:dyDescent="0.35">
      <c r="A392" t="s">
        <v>781</v>
      </c>
      <c r="B392" t="s">
        <v>386</v>
      </c>
      <c r="C392">
        <v>40</v>
      </c>
      <c r="D392" s="8" t="str" cm="1">
        <f t="array" ref="D392">_xlfn.IFS(C392&lt;=2, "Infant", C392&lt;=11, "Child", C392&lt;=17, "Adolescent", C392&lt;=44, "Young Adult", C392&lt;=64, "Middle Aged", C392&lt;=84,"Young Old", C392&gt;=85,"Oldest Old")</f>
        <v>Young Adult</v>
      </c>
      <c r="E392" t="s">
        <v>18</v>
      </c>
      <c r="F392" s="4">
        <v>45636</v>
      </c>
      <c r="G392" s="4">
        <v>45639</v>
      </c>
      <c r="H392" s="7">
        <f t="shared" si="18"/>
        <v>3</v>
      </c>
      <c r="I392" t="s">
        <v>70</v>
      </c>
      <c r="J392" t="s">
        <v>71</v>
      </c>
      <c r="K392" s="2">
        <v>3660.71</v>
      </c>
      <c r="L392" s="9">
        <v>0.7</v>
      </c>
      <c r="M392" s="15">
        <f t="shared" si="19"/>
        <v>2562.4969999999998</v>
      </c>
      <c r="N392" s="15">
        <f t="shared" si="20"/>
        <v>1098.2130000000002</v>
      </c>
      <c r="O392" t="s">
        <v>25</v>
      </c>
    </row>
    <row r="393" spans="1:15" hidden="1" x14ac:dyDescent="0.35">
      <c r="A393" t="s">
        <v>782</v>
      </c>
      <c r="B393" t="s">
        <v>783</v>
      </c>
      <c r="C393">
        <v>42</v>
      </c>
      <c r="D393" s="8" t="str" cm="1">
        <f t="array" ref="D393">_xlfn.IFS(C393&lt;=2, "Infant", C393&lt;=11, "Child", C393&lt;=17, "Adolescent", C393&lt;=44, "Young Adult", C393&lt;=64, "Middle Aged", C393&lt;=84,"Young Old", C393&gt;=85,"Oldest Old")</f>
        <v>Young Adult</v>
      </c>
      <c r="E393" t="s">
        <v>18</v>
      </c>
      <c r="F393" s="4">
        <v>45941</v>
      </c>
      <c r="G393" s="4">
        <v>45947</v>
      </c>
      <c r="H393" s="7">
        <f t="shared" si="18"/>
        <v>6</v>
      </c>
      <c r="I393" t="s">
        <v>70</v>
      </c>
      <c r="J393" t="s">
        <v>94</v>
      </c>
      <c r="K393" s="2">
        <v>10028.68</v>
      </c>
      <c r="L393" s="9">
        <v>0.8</v>
      </c>
      <c r="M393" s="15">
        <f t="shared" si="19"/>
        <v>8022.9440000000004</v>
      </c>
      <c r="N393" s="15">
        <f t="shared" si="20"/>
        <v>2005.7359999999999</v>
      </c>
      <c r="O393" t="s">
        <v>20</v>
      </c>
    </row>
    <row r="394" spans="1:15" hidden="1" x14ac:dyDescent="0.35">
      <c r="A394" t="s">
        <v>784</v>
      </c>
      <c r="B394" t="s">
        <v>785</v>
      </c>
      <c r="C394">
        <v>9</v>
      </c>
      <c r="D394" s="8" t="str" cm="1">
        <f t="array" ref="D394">_xlfn.IFS(C394&lt;=2, "Infant", C394&lt;=11, "Child", C394&lt;=17, "Adolescent", C394&lt;=44, "Young Adult", C394&lt;=64, "Middle Aged", C394&lt;=84,"Young Old", C394&gt;=85,"Oldest Old")</f>
        <v>Child</v>
      </c>
      <c r="E394" t="s">
        <v>18</v>
      </c>
      <c r="F394" s="4">
        <v>45296</v>
      </c>
      <c r="G394" s="4">
        <v>45301</v>
      </c>
      <c r="H394" s="7">
        <f t="shared" si="18"/>
        <v>5</v>
      </c>
      <c r="I394" t="s">
        <v>49</v>
      </c>
      <c r="J394" t="s">
        <v>130</v>
      </c>
      <c r="K394" s="2">
        <v>7238.61</v>
      </c>
      <c r="L394" s="9">
        <v>0.5</v>
      </c>
      <c r="M394" s="15">
        <f t="shared" si="19"/>
        <v>3619.3049999999998</v>
      </c>
      <c r="N394" s="15">
        <f t="shared" si="20"/>
        <v>3619.3049999999998</v>
      </c>
      <c r="O394" t="s">
        <v>20</v>
      </c>
    </row>
    <row r="395" spans="1:15" hidden="1" x14ac:dyDescent="0.35">
      <c r="A395" t="s">
        <v>786</v>
      </c>
      <c r="B395" t="s">
        <v>787</v>
      </c>
      <c r="C395">
        <v>29</v>
      </c>
      <c r="D395" s="8" t="str" cm="1">
        <f t="array" ref="D395">_xlfn.IFS(C395&lt;=2, "Infant", C395&lt;=11, "Child", C395&lt;=17, "Adolescent", C395&lt;=44, "Young Adult", C395&lt;=64, "Middle Aged", C395&lt;=84,"Young Old", C395&gt;=85,"Oldest Old")</f>
        <v>Young Adult</v>
      </c>
      <c r="E395" t="s">
        <v>18</v>
      </c>
      <c r="F395" s="4">
        <v>45292</v>
      </c>
      <c r="G395" s="4">
        <v>45293</v>
      </c>
      <c r="H395" s="7">
        <f t="shared" si="18"/>
        <v>1</v>
      </c>
      <c r="I395" t="s">
        <v>31</v>
      </c>
      <c r="J395" t="s">
        <v>44</v>
      </c>
      <c r="K395" s="2">
        <v>969.55</v>
      </c>
      <c r="L395" s="9">
        <v>0.9</v>
      </c>
      <c r="M395" s="15">
        <f t="shared" si="19"/>
        <v>872.59500000000003</v>
      </c>
      <c r="N395" s="15">
        <f t="shared" si="20"/>
        <v>96.954999999999927</v>
      </c>
      <c r="O395" t="s">
        <v>15</v>
      </c>
    </row>
    <row r="396" spans="1:15" hidden="1" x14ac:dyDescent="0.35">
      <c r="A396" t="s">
        <v>788</v>
      </c>
      <c r="B396" t="s">
        <v>789</v>
      </c>
      <c r="C396">
        <v>63</v>
      </c>
      <c r="D396" s="8" t="str" cm="1">
        <f t="array" ref="D396">_xlfn.IFS(C396&lt;=2, "Infant", C396&lt;=11, "Child", C396&lt;=17, "Adolescent", C396&lt;=44, "Young Adult", C396&lt;=64, "Middle Aged", C396&lt;=84,"Young Old", C396&gt;=85,"Oldest Old")</f>
        <v>Middle Aged</v>
      </c>
      <c r="E396" t="s">
        <v>12</v>
      </c>
      <c r="F396" s="4">
        <v>45500</v>
      </c>
      <c r="G396" s="4">
        <v>45510</v>
      </c>
      <c r="H396" s="7">
        <f t="shared" si="18"/>
        <v>10</v>
      </c>
      <c r="I396" t="s">
        <v>13</v>
      </c>
      <c r="J396" t="s">
        <v>19</v>
      </c>
      <c r="K396" s="2">
        <v>29016.400000000001</v>
      </c>
      <c r="L396" s="9">
        <v>0.7</v>
      </c>
      <c r="M396" s="15">
        <f t="shared" si="19"/>
        <v>20311.48</v>
      </c>
      <c r="N396" s="15">
        <f t="shared" si="20"/>
        <v>8704.9200000000019</v>
      </c>
      <c r="O396" t="s">
        <v>15</v>
      </c>
    </row>
    <row r="397" spans="1:15" hidden="1" x14ac:dyDescent="0.35">
      <c r="A397" t="s">
        <v>790</v>
      </c>
      <c r="B397" t="s">
        <v>791</v>
      </c>
      <c r="C397">
        <v>15</v>
      </c>
      <c r="D397" s="8" t="str" cm="1">
        <f t="array" ref="D397">_xlfn.IFS(C397&lt;=2, "Infant", C397&lt;=11, "Child", C397&lt;=17, "Adolescent", C397&lt;=44, "Young Adult", C397&lt;=64, "Middle Aged", C397&lt;=84,"Young Old", C397&gt;=85,"Oldest Old")</f>
        <v>Adolescent</v>
      </c>
      <c r="E397" t="s">
        <v>18</v>
      </c>
      <c r="F397" s="4">
        <v>45857</v>
      </c>
      <c r="G397" s="4">
        <v>45861</v>
      </c>
      <c r="H397" s="7">
        <f t="shared" si="18"/>
        <v>4</v>
      </c>
      <c r="I397" t="s">
        <v>49</v>
      </c>
      <c r="J397" t="s">
        <v>117</v>
      </c>
      <c r="K397" s="2">
        <v>6415.8</v>
      </c>
      <c r="L397" s="9">
        <v>0.8</v>
      </c>
      <c r="M397" s="15">
        <f t="shared" si="19"/>
        <v>5132.6400000000003</v>
      </c>
      <c r="N397" s="15">
        <f t="shared" si="20"/>
        <v>1283.1599999999999</v>
      </c>
      <c r="O397" t="s">
        <v>15</v>
      </c>
    </row>
    <row r="398" spans="1:15" hidden="1" x14ac:dyDescent="0.35">
      <c r="A398" t="s">
        <v>792</v>
      </c>
      <c r="B398" t="s">
        <v>793</v>
      </c>
      <c r="C398">
        <v>54</v>
      </c>
      <c r="D398" s="8" t="str" cm="1">
        <f t="array" ref="D398">_xlfn.IFS(C398&lt;=2, "Infant", C398&lt;=11, "Child", C398&lt;=17, "Adolescent", C398&lt;=44, "Young Adult", C398&lt;=64, "Middle Aged", C398&lt;=84,"Young Old", C398&gt;=85,"Oldest Old")</f>
        <v>Middle Aged</v>
      </c>
      <c r="E398" t="s">
        <v>12</v>
      </c>
      <c r="F398" s="4">
        <v>45646</v>
      </c>
      <c r="G398" s="4">
        <v>45651</v>
      </c>
      <c r="H398" s="7">
        <f t="shared" si="18"/>
        <v>5</v>
      </c>
      <c r="I398" t="s">
        <v>13</v>
      </c>
      <c r="J398" t="s">
        <v>102</v>
      </c>
      <c r="K398" s="2">
        <v>12816.46</v>
      </c>
      <c r="L398" s="9">
        <v>0.5</v>
      </c>
      <c r="M398" s="15">
        <f t="shared" si="19"/>
        <v>6408.23</v>
      </c>
      <c r="N398" s="15">
        <f t="shared" si="20"/>
        <v>6408.23</v>
      </c>
      <c r="O398" t="s">
        <v>15</v>
      </c>
    </row>
    <row r="399" spans="1:15" hidden="1" x14ac:dyDescent="0.35">
      <c r="A399" t="s">
        <v>794</v>
      </c>
      <c r="B399" t="s">
        <v>795</v>
      </c>
      <c r="C399">
        <v>77</v>
      </c>
      <c r="D399" s="8" t="str" cm="1">
        <f t="array" ref="D399">_xlfn.IFS(C399&lt;=2, "Infant", C399&lt;=11, "Child", C399&lt;=17, "Adolescent", C399&lt;=44, "Young Adult", C399&lt;=64, "Middle Aged", C399&lt;=84,"Young Old", C399&gt;=85,"Oldest Old")</f>
        <v>Young Old</v>
      </c>
      <c r="E399" t="s">
        <v>18</v>
      </c>
      <c r="F399" s="4">
        <v>45582</v>
      </c>
      <c r="G399" s="4">
        <v>45585</v>
      </c>
      <c r="H399" s="7">
        <f t="shared" si="18"/>
        <v>3</v>
      </c>
      <c r="I399" t="s">
        <v>13</v>
      </c>
      <c r="J399" t="s">
        <v>165</v>
      </c>
      <c r="K399" s="2">
        <v>7577.11</v>
      </c>
      <c r="L399" s="9">
        <v>0.8</v>
      </c>
      <c r="M399" s="15">
        <f t="shared" si="19"/>
        <v>6061.6880000000001</v>
      </c>
      <c r="N399" s="15">
        <f t="shared" si="20"/>
        <v>1515.4219999999996</v>
      </c>
      <c r="O399" t="s">
        <v>15</v>
      </c>
    </row>
    <row r="400" spans="1:15" hidden="1" x14ac:dyDescent="0.35">
      <c r="A400" t="s">
        <v>796</v>
      </c>
      <c r="B400" t="s">
        <v>797</v>
      </c>
      <c r="C400">
        <v>35</v>
      </c>
      <c r="D400" s="8" t="str" cm="1">
        <f t="array" ref="D400">_xlfn.IFS(C400&lt;=2, "Infant", C400&lt;=11, "Child", C400&lt;=17, "Adolescent", C400&lt;=44, "Young Adult", C400&lt;=64, "Middle Aged", C400&lt;=84,"Young Old", C400&gt;=85,"Oldest Old")</f>
        <v>Young Adult</v>
      </c>
      <c r="E400" t="s">
        <v>12</v>
      </c>
      <c r="F400" s="4">
        <v>45641</v>
      </c>
      <c r="G400" s="4">
        <v>45642</v>
      </c>
      <c r="H400" s="7">
        <f t="shared" si="18"/>
        <v>1</v>
      </c>
      <c r="I400" t="s">
        <v>23</v>
      </c>
      <c r="J400" t="s">
        <v>204</v>
      </c>
      <c r="K400" s="2">
        <v>1670.53</v>
      </c>
      <c r="L400" s="9">
        <v>0.8</v>
      </c>
      <c r="M400" s="15">
        <f t="shared" si="19"/>
        <v>1336.424</v>
      </c>
      <c r="N400" s="15">
        <f t="shared" si="20"/>
        <v>334.10599999999999</v>
      </c>
      <c r="O400" t="s">
        <v>15</v>
      </c>
    </row>
    <row r="401" spans="1:15" hidden="1" x14ac:dyDescent="0.35">
      <c r="A401" t="s">
        <v>798</v>
      </c>
      <c r="B401" t="s">
        <v>799</v>
      </c>
      <c r="C401">
        <v>58</v>
      </c>
      <c r="D401" s="8" t="str" cm="1">
        <f t="array" ref="D401">_xlfn.IFS(C401&lt;=2, "Infant", C401&lt;=11, "Child", C401&lt;=17, "Adolescent", C401&lt;=44, "Young Adult", C401&lt;=64, "Middle Aged", C401&lt;=84,"Young Old", C401&gt;=85,"Oldest Old")</f>
        <v>Middle Aged</v>
      </c>
      <c r="E401" t="s">
        <v>12</v>
      </c>
      <c r="F401" s="4">
        <v>45390</v>
      </c>
      <c r="G401" s="4">
        <v>45398</v>
      </c>
      <c r="H401" s="7">
        <f t="shared" si="18"/>
        <v>8</v>
      </c>
      <c r="I401" t="s">
        <v>60</v>
      </c>
      <c r="J401" t="s">
        <v>74</v>
      </c>
      <c r="K401" s="2">
        <v>19956.13</v>
      </c>
      <c r="L401" s="9">
        <v>1</v>
      </c>
      <c r="M401" s="15">
        <f t="shared" si="19"/>
        <v>19956.13</v>
      </c>
      <c r="N401" s="15">
        <f t="shared" si="20"/>
        <v>0</v>
      </c>
      <c r="O401" t="s">
        <v>15</v>
      </c>
    </row>
    <row r="402" spans="1:15" hidden="1" x14ac:dyDescent="0.35">
      <c r="A402" t="s">
        <v>800</v>
      </c>
      <c r="B402" t="s">
        <v>377</v>
      </c>
      <c r="C402">
        <v>73</v>
      </c>
      <c r="D402" s="8" t="str" cm="1">
        <f t="array" ref="D402">_xlfn.IFS(C402&lt;=2, "Infant", C402&lt;=11, "Child", C402&lt;=17, "Adolescent", C402&lt;=44, "Young Adult", C402&lt;=64, "Middle Aged", C402&lt;=84,"Young Old", C402&gt;=85,"Oldest Old")</f>
        <v>Young Old</v>
      </c>
      <c r="E402" t="s">
        <v>12</v>
      </c>
      <c r="F402" s="4">
        <v>45441</v>
      </c>
      <c r="G402" s="4">
        <v>45443</v>
      </c>
      <c r="H402" s="7">
        <f t="shared" si="18"/>
        <v>2</v>
      </c>
      <c r="I402" t="s">
        <v>23</v>
      </c>
      <c r="J402" t="s">
        <v>82</v>
      </c>
      <c r="K402" s="2">
        <v>2111.6799999999998</v>
      </c>
      <c r="L402" s="9">
        <v>0.9</v>
      </c>
      <c r="M402" s="15">
        <f t="shared" si="19"/>
        <v>1900.5119999999999</v>
      </c>
      <c r="N402" s="15">
        <f t="shared" si="20"/>
        <v>211.16799999999989</v>
      </c>
      <c r="O402" t="s">
        <v>15</v>
      </c>
    </row>
    <row r="403" spans="1:15" hidden="1" x14ac:dyDescent="0.35">
      <c r="A403" t="s">
        <v>801</v>
      </c>
      <c r="B403" t="s">
        <v>802</v>
      </c>
      <c r="C403">
        <v>40</v>
      </c>
      <c r="D403" s="8" t="str" cm="1">
        <f t="array" ref="D403">_xlfn.IFS(C403&lt;=2, "Infant", C403&lt;=11, "Child", C403&lt;=17, "Adolescent", C403&lt;=44, "Young Adult", C403&lt;=64, "Middle Aged", C403&lt;=84,"Young Old", C403&gt;=85,"Oldest Old")</f>
        <v>Young Adult</v>
      </c>
      <c r="E403" t="s">
        <v>18</v>
      </c>
      <c r="F403" s="4">
        <v>45336</v>
      </c>
      <c r="G403" s="4">
        <v>45342</v>
      </c>
      <c r="H403" s="7">
        <f t="shared" si="18"/>
        <v>6</v>
      </c>
      <c r="I403" t="s">
        <v>60</v>
      </c>
      <c r="J403" t="s">
        <v>142</v>
      </c>
      <c r="K403" s="2">
        <v>9466.9</v>
      </c>
      <c r="L403" s="9">
        <v>0.7</v>
      </c>
      <c r="M403" s="15">
        <f t="shared" si="19"/>
        <v>6626.829999999999</v>
      </c>
      <c r="N403" s="15">
        <f t="shared" si="20"/>
        <v>2840.0700000000006</v>
      </c>
      <c r="O403" t="s">
        <v>25</v>
      </c>
    </row>
    <row r="404" spans="1:15" hidden="1" x14ac:dyDescent="0.35">
      <c r="A404" t="s">
        <v>803</v>
      </c>
      <c r="B404" t="s">
        <v>804</v>
      </c>
      <c r="C404">
        <v>42</v>
      </c>
      <c r="D404" s="8" t="str" cm="1">
        <f t="array" ref="D404">_xlfn.IFS(C404&lt;=2, "Infant", C404&lt;=11, "Child", C404&lt;=17, "Adolescent", C404&lt;=44, "Young Adult", C404&lt;=64, "Middle Aged", C404&lt;=84,"Young Old", C404&gt;=85,"Oldest Old")</f>
        <v>Young Adult</v>
      </c>
      <c r="E404" t="s">
        <v>18</v>
      </c>
      <c r="F404" s="4">
        <v>45294</v>
      </c>
      <c r="G404" s="4">
        <v>45304</v>
      </c>
      <c r="H404" s="7">
        <f t="shared" si="18"/>
        <v>10</v>
      </c>
      <c r="I404" t="s">
        <v>70</v>
      </c>
      <c r="J404" t="s">
        <v>194</v>
      </c>
      <c r="K404" s="2">
        <v>20681.509999999998</v>
      </c>
      <c r="L404" s="9">
        <v>0.9</v>
      </c>
      <c r="M404" s="15">
        <f t="shared" si="19"/>
        <v>18613.359</v>
      </c>
      <c r="N404" s="15">
        <f t="shared" si="20"/>
        <v>2068.150999999998</v>
      </c>
      <c r="O404" t="s">
        <v>15</v>
      </c>
    </row>
    <row r="405" spans="1:15" hidden="1" x14ac:dyDescent="0.35">
      <c r="A405" t="s">
        <v>805</v>
      </c>
      <c r="B405" t="s">
        <v>806</v>
      </c>
      <c r="C405">
        <v>12</v>
      </c>
      <c r="D405" s="8" t="str" cm="1">
        <f t="array" ref="D405">_xlfn.IFS(C405&lt;=2, "Infant", C405&lt;=11, "Child", C405&lt;=17, "Adolescent", C405&lt;=44, "Young Adult", C405&lt;=64, "Middle Aged", C405&lt;=84,"Young Old", C405&gt;=85,"Oldest Old")</f>
        <v>Adolescent</v>
      </c>
      <c r="E405" t="s">
        <v>12</v>
      </c>
      <c r="F405" s="4">
        <v>45750</v>
      </c>
      <c r="G405" s="4">
        <v>45754</v>
      </c>
      <c r="H405" s="7">
        <f t="shared" si="18"/>
        <v>4</v>
      </c>
      <c r="I405" t="s">
        <v>49</v>
      </c>
      <c r="J405" t="s">
        <v>130</v>
      </c>
      <c r="K405" s="2">
        <v>2556.54</v>
      </c>
      <c r="L405" s="9">
        <v>1</v>
      </c>
      <c r="M405" s="15">
        <f t="shared" si="19"/>
        <v>2556.54</v>
      </c>
      <c r="N405" s="15">
        <f t="shared" si="20"/>
        <v>0</v>
      </c>
      <c r="O405" t="s">
        <v>15</v>
      </c>
    </row>
    <row r="406" spans="1:15" hidden="1" x14ac:dyDescent="0.35">
      <c r="A406" t="s">
        <v>807</v>
      </c>
      <c r="B406" t="s">
        <v>808</v>
      </c>
      <c r="C406">
        <v>67</v>
      </c>
      <c r="D406" s="8" t="str" cm="1">
        <f t="array" ref="D406">_xlfn.IFS(C406&lt;=2, "Infant", C406&lt;=11, "Child", C406&lt;=17, "Adolescent", C406&lt;=44, "Young Adult", C406&lt;=64, "Middle Aged", C406&lt;=84,"Young Old", C406&gt;=85,"Oldest Old")</f>
        <v>Young Old</v>
      </c>
      <c r="E406" t="s">
        <v>12</v>
      </c>
      <c r="F406" s="4">
        <v>45359</v>
      </c>
      <c r="G406" s="4">
        <v>45367</v>
      </c>
      <c r="H406" s="7">
        <f t="shared" si="18"/>
        <v>8</v>
      </c>
      <c r="I406" t="s">
        <v>70</v>
      </c>
      <c r="J406" t="s">
        <v>71</v>
      </c>
      <c r="K406" s="2">
        <v>20496.009999999998</v>
      </c>
      <c r="L406" s="9">
        <v>1</v>
      </c>
      <c r="M406" s="15">
        <f t="shared" si="19"/>
        <v>20496.009999999998</v>
      </c>
      <c r="N406" s="15">
        <f t="shared" si="20"/>
        <v>0</v>
      </c>
      <c r="O406" t="s">
        <v>20</v>
      </c>
    </row>
    <row r="407" spans="1:15" hidden="1" x14ac:dyDescent="0.35">
      <c r="A407" t="s">
        <v>809</v>
      </c>
      <c r="B407" t="s">
        <v>810</v>
      </c>
      <c r="C407">
        <v>1</v>
      </c>
      <c r="D407" s="8" t="str" cm="1">
        <f t="array" ref="D407">_xlfn.IFS(C407&lt;=2, "Infant", C407&lt;=11, "Child", C407&lt;=17, "Adolescent", C407&lt;=44, "Young Adult", C407&lt;=64, "Middle Aged", C407&lt;=84,"Young Old", C407&gt;=85,"Oldest Old")</f>
        <v>Infant</v>
      </c>
      <c r="E407" t="s">
        <v>12</v>
      </c>
      <c r="F407" s="4">
        <v>45405</v>
      </c>
      <c r="G407" s="4">
        <v>45406</v>
      </c>
      <c r="H407" s="7">
        <f t="shared" si="18"/>
        <v>1</v>
      </c>
      <c r="I407" t="s">
        <v>49</v>
      </c>
      <c r="J407" t="s">
        <v>50</v>
      </c>
      <c r="K407" s="2">
        <v>1269.22</v>
      </c>
      <c r="L407" s="9">
        <v>0.9</v>
      </c>
      <c r="M407" s="15">
        <f t="shared" si="19"/>
        <v>1142.298</v>
      </c>
      <c r="N407" s="15">
        <f t="shared" si="20"/>
        <v>126.92200000000003</v>
      </c>
      <c r="O407" t="s">
        <v>15</v>
      </c>
    </row>
    <row r="408" spans="1:15" hidden="1" x14ac:dyDescent="0.35">
      <c r="A408" t="s">
        <v>811</v>
      </c>
      <c r="B408" t="s">
        <v>812</v>
      </c>
      <c r="C408">
        <v>74</v>
      </c>
      <c r="D408" s="8" t="str" cm="1">
        <f t="array" ref="D408">_xlfn.IFS(C408&lt;=2, "Infant", C408&lt;=11, "Child", C408&lt;=17, "Adolescent", C408&lt;=44, "Young Adult", C408&lt;=64, "Middle Aged", C408&lt;=84,"Young Old", C408&gt;=85,"Oldest Old")</f>
        <v>Young Old</v>
      </c>
      <c r="E408" t="s">
        <v>18</v>
      </c>
      <c r="F408" s="4">
        <v>45527</v>
      </c>
      <c r="G408" s="4">
        <v>45536</v>
      </c>
      <c r="H408" s="7">
        <f t="shared" si="18"/>
        <v>9</v>
      </c>
      <c r="I408" t="s">
        <v>60</v>
      </c>
      <c r="J408" t="s">
        <v>61</v>
      </c>
      <c r="K408" s="2">
        <v>14175.59</v>
      </c>
      <c r="L408" s="9">
        <v>0.7</v>
      </c>
      <c r="M408" s="15">
        <f t="shared" si="19"/>
        <v>9922.9129999999986</v>
      </c>
      <c r="N408" s="15">
        <f t="shared" si="20"/>
        <v>4252.6770000000015</v>
      </c>
      <c r="O408" t="s">
        <v>25</v>
      </c>
    </row>
    <row r="409" spans="1:15" hidden="1" x14ac:dyDescent="0.35">
      <c r="A409" t="s">
        <v>813</v>
      </c>
      <c r="B409" t="s">
        <v>814</v>
      </c>
      <c r="C409">
        <v>36</v>
      </c>
      <c r="D409" s="8" t="str" cm="1">
        <f t="array" ref="D409">_xlfn.IFS(C409&lt;=2, "Infant", C409&lt;=11, "Child", C409&lt;=17, "Adolescent", C409&lt;=44, "Young Adult", C409&lt;=64, "Middle Aged", C409&lt;=84,"Young Old", C409&gt;=85,"Oldest Old")</f>
        <v>Young Adult</v>
      </c>
      <c r="E409" t="s">
        <v>18</v>
      </c>
      <c r="F409" s="4">
        <v>45845</v>
      </c>
      <c r="G409" s="4">
        <v>45847</v>
      </c>
      <c r="H409" s="7">
        <f t="shared" si="18"/>
        <v>2</v>
      </c>
      <c r="I409" t="s">
        <v>23</v>
      </c>
      <c r="J409" t="s">
        <v>333</v>
      </c>
      <c r="K409" s="2">
        <v>2258.0700000000002</v>
      </c>
      <c r="L409" s="9">
        <v>0.8</v>
      </c>
      <c r="M409" s="15">
        <f t="shared" si="19"/>
        <v>1806.4560000000001</v>
      </c>
      <c r="N409" s="15">
        <f t="shared" si="20"/>
        <v>451.61400000000003</v>
      </c>
      <c r="O409" t="s">
        <v>15</v>
      </c>
    </row>
    <row r="410" spans="1:15" hidden="1" x14ac:dyDescent="0.35">
      <c r="A410" t="s">
        <v>815</v>
      </c>
      <c r="B410" t="s">
        <v>816</v>
      </c>
      <c r="C410">
        <v>53</v>
      </c>
      <c r="D410" s="8" t="str" cm="1">
        <f t="array" ref="D410">_xlfn.IFS(C410&lt;=2, "Infant", C410&lt;=11, "Child", C410&lt;=17, "Adolescent", C410&lt;=44, "Young Adult", C410&lt;=64, "Middle Aged", C410&lt;=84,"Young Old", C410&gt;=85,"Oldest Old")</f>
        <v>Middle Aged</v>
      </c>
      <c r="E410" t="s">
        <v>12</v>
      </c>
      <c r="F410" s="4">
        <v>45980</v>
      </c>
      <c r="G410" s="4">
        <v>45981</v>
      </c>
      <c r="H410" s="7">
        <f t="shared" si="18"/>
        <v>1</v>
      </c>
      <c r="I410" t="s">
        <v>31</v>
      </c>
      <c r="J410" t="s">
        <v>114</v>
      </c>
      <c r="K410" s="2">
        <v>1471.29</v>
      </c>
      <c r="L410" s="9">
        <v>0.8</v>
      </c>
      <c r="M410" s="15">
        <f t="shared" si="19"/>
        <v>1177.0319999999999</v>
      </c>
      <c r="N410" s="15">
        <f t="shared" si="20"/>
        <v>294.25800000000004</v>
      </c>
      <c r="O410" t="s">
        <v>15</v>
      </c>
    </row>
    <row r="411" spans="1:15" hidden="1" x14ac:dyDescent="0.35">
      <c r="A411" t="s">
        <v>817</v>
      </c>
      <c r="B411" t="s">
        <v>818</v>
      </c>
      <c r="C411">
        <v>7</v>
      </c>
      <c r="D411" s="8" t="str" cm="1">
        <f t="array" ref="D411">_xlfn.IFS(C411&lt;=2, "Infant", C411&lt;=11, "Child", C411&lt;=17, "Adolescent", C411&lt;=44, "Young Adult", C411&lt;=64, "Middle Aged", C411&lt;=84,"Young Old", C411&gt;=85,"Oldest Old")</f>
        <v>Child</v>
      </c>
      <c r="E411" t="s">
        <v>18</v>
      </c>
      <c r="F411" s="4">
        <v>45755</v>
      </c>
      <c r="G411" s="4">
        <v>45759</v>
      </c>
      <c r="H411" s="7">
        <f t="shared" si="18"/>
        <v>4</v>
      </c>
      <c r="I411" t="s">
        <v>49</v>
      </c>
      <c r="J411" t="s">
        <v>50</v>
      </c>
      <c r="K411" s="2">
        <v>4671.33</v>
      </c>
      <c r="L411" s="9">
        <v>0.7</v>
      </c>
      <c r="M411" s="15">
        <f t="shared" si="19"/>
        <v>3269.9309999999996</v>
      </c>
      <c r="N411" s="15">
        <f t="shared" si="20"/>
        <v>1401.3990000000003</v>
      </c>
      <c r="O411" t="s">
        <v>15</v>
      </c>
    </row>
    <row r="412" spans="1:15" hidden="1" x14ac:dyDescent="0.35">
      <c r="A412" t="s">
        <v>819</v>
      </c>
      <c r="B412" t="s">
        <v>820</v>
      </c>
      <c r="C412">
        <v>56</v>
      </c>
      <c r="D412" s="8" t="str" cm="1">
        <f t="array" ref="D412">_xlfn.IFS(C412&lt;=2, "Infant", C412&lt;=11, "Child", C412&lt;=17, "Adolescent", C412&lt;=44, "Young Adult", C412&lt;=64, "Middle Aged", C412&lt;=84,"Young Old", C412&gt;=85,"Oldest Old")</f>
        <v>Middle Aged</v>
      </c>
      <c r="E412" t="s">
        <v>12</v>
      </c>
      <c r="F412" s="4">
        <v>46015</v>
      </c>
      <c r="G412" s="4">
        <v>46018</v>
      </c>
      <c r="H412" s="7">
        <f t="shared" si="18"/>
        <v>3</v>
      </c>
      <c r="I412" t="s">
        <v>23</v>
      </c>
      <c r="J412" t="s">
        <v>28</v>
      </c>
      <c r="K412" s="2">
        <v>3856.57</v>
      </c>
      <c r="L412" s="9">
        <v>0.7</v>
      </c>
      <c r="M412" s="15">
        <f t="shared" si="19"/>
        <v>2699.5990000000002</v>
      </c>
      <c r="N412" s="15">
        <f t="shared" si="20"/>
        <v>1156.971</v>
      </c>
      <c r="O412" t="s">
        <v>15</v>
      </c>
    </row>
    <row r="413" spans="1:15" hidden="1" x14ac:dyDescent="0.35">
      <c r="A413" t="s">
        <v>821</v>
      </c>
      <c r="B413" t="s">
        <v>769</v>
      </c>
      <c r="C413">
        <v>42</v>
      </c>
      <c r="D413" s="8" t="str" cm="1">
        <f t="array" ref="D413">_xlfn.IFS(C413&lt;=2, "Infant", C413&lt;=11, "Child", C413&lt;=17, "Adolescent", C413&lt;=44, "Young Adult", C413&lt;=64, "Middle Aged", C413&lt;=84,"Young Old", C413&gt;=85,"Oldest Old")</f>
        <v>Young Adult</v>
      </c>
      <c r="E413" t="s">
        <v>18</v>
      </c>
      <c r="F413" s="4">
        <v>45970</v>
      </c>
      <c r="G413" s="4">
        <v>45979</v>
      </c>
      <c r="H413" s="7">
        <f t="shared" si="18"/>
        <v>9</v>
      </c>
      <c r="I413" t="s">
        <v>13</v>
      </c>
      <c r="J413" t="s">
        <v>111</v>
      </c>
      <c r="K413" s="2">
        <v>22775.06</v>
      </c>
      <c r="L413" s="9">
        <v>0.8</v>
      </c>
      <c r="M413" s="15">
        <f t="shared" si="19"/>
        <v>18220.048000000003</v>
      </c>
      <c r="N413" s="15">
        <f t="shared" si="20"/>
        <v>4555.0119999999988</v>
      </c>
      <c r="O413" t="s">
        <v>15</v>
      </c>
    </row>
    <row r="414" spans="1:15" hidden="1" x14ac:dyDescent="0.35">
      <c r="A414" t="s">
        <v>822</v>
      </c>
      <c r="B414" t="s">
        <v>823</v>
      </c>
      <c r="C414">
        <v>53</v>
      </c>
      <c r="D414" s="8" t="str" cm="1">
        <f t="array" ref="D414">_xlfn.IFS(C414&lt;=2, "Infant", C414&lt;=11, "Child", C414&lt;=17, "Adolescent", C414&lt;=44, "Young Adult", C414&lt;=64, "Middle Aged", C414&lt;=84,"Young Old", C414&gt;=85,"Oldest Old")</f>
        <v>Middle Aged</v>
      </c>
      <c r="E414" t="s">
        <v>18</v>
      </c>
      <c r="F414" s="4">
        <v>45375</v>
      </c>
      <c r="G414" s="4">
        <v>45377</v>
      </c>
      <c r="H414" s="7">
        <f t="shared" si="18"/>
        <v>2</v>
      </c>
      <c r="I414" t="s">
        <v>23</v>
      </c>
      <c r="J414" t="s">
        <v>41</v>
      </c>
      <c r="K414" s="2">
        <v>2542.9899999999998</v>
      </c>
      <c r="L414" s="9">
        <v>0.6</v>
      </c>
      <c r="M414" s="15">
        <f t="shared" si="19"/>
        <v>1525.7939999999999</v>
      </c>
      <c r="N414" s="15">
        <f t="shared" si="20"/>
        <v>1017.1959999999999</v>
      </c>
      <c r="O414" t="s">
        <v>20</v>
      </c>
    </row>
    <row r="415" spans="1:15" hidden="1" x14ac:dyDescent="0.35">
      <c r="A415" t="s">
        <v>824</v>
      </c>
      <c r="B415" t="s">
        <v>825</v>
      </c>
      <c r="C415">
        <v>4</v>
      </c>
      <c r="D415" s="8" t="str" cm="1">
        <f t="array" ref="D415">_xlfn.IFS(C415&lt;=2, "Infant", C415&lt;=11, "Child", C415&lt;=17, "Adolescent", C415&lt;=44, "Young Adult", C415&lt;=64, "Middle Aged", C415&lt;=84,"Young Old", C415&gt;=85,"Oldest Old")</f>
        <v>Child</v>
      </c>
      <c r="E415" t="s">
        <v>18</v>
      </c>
      <c r="F415" s="4">
        <v>45840</v>
      </c>
      <c r="G415" s="4">
        <v>45844</v>
      </c>
      <c r="H415" s="7">
        <f t="shared" si="18"/>
        <v>4</v>
      </c>
      <c r="I415" t="s">
        <v>49</v>
      </c>
      <c r="J415" t="s">
        <v>117</v>
      </c>
      <c r="K415" s="2">
        <v>7044.38</v>
      </c>
      <c r="L415" s="9">
        <v>0.9</v>
      </c>
      <c r="M415" s="15">
        <f t="shared" si="19"/>
        <v>6339.942</v>
      </c>
      <c r="N415" s="15">
        <f t="shared" si="20"/>
        <v>704.4380000000001</v>
      </c>
      <c r="O415" t="s">
        <v>15</v>
      </c>
    </row>
    <row r="416" spans="1:15" hidden="1" x14ac:dyDescent="0.35">
      <c r="A416" t="s">
        <v>826</v>
      </c>
      <c r="B416" t="s">
        <v>827</v>
      </c>
      <c r="C416">
        <v>11</v>
      </c>
      <c r="D416" s="8" t="str" cm="1">
        <f t="array" ref="D416">_xlfn.IFS(C416&lt;=2, "Infant", C416&lt;=11, "Child", C416&lt;=17, "Adolescent", C416&lt;=44, "Young Adult", C416&lt;=64, "Middle Aged", C416&lt;=84,"Young Old", C416&gt;=85,"Oldest Old")</f>
        <v>Child</v>
      </c>
      <c r="E416" t="s">
        <v>18</v>
      </c>
      <c r="F416" s="4">
        <v>45752</v>
      </c>
      <c r="G416" s="4">
        <v>45754</v>
      </c>
      <c r="H416" s="7">
        <f t="shared" si="18"/>
        <v>2</v>
      </c>
      <c r="I416" t="s">
        <v>49</v>
      </c>
      <c r="J416" t="s">
        <v>130</v>
      </c>
      <c r="K416" s="2">
        <v>3402.4</v>
      </c>
      <c r="L416" s="9">
        <v>0.9</v>
      </c>
      <c r="M416" s="15">
        <f t="shared" si="19"/>
        <v>3062.1600000000003</v>
      </c>
      <c r="N416" s="15">
        <f t="shared" si="20"/>
        <v>340.23999999999978</v>
      </c>
      <c r="O416" t="s">
        <v>15</v>
      </c>
    </row>
    <row r="417" spans="1:15" hidden="1" x14ac:dyDescent="0.35">
      <c r="A417" t="s">
        <v>828</v>
      </c>
      <c r="B417" t="s">
        <v>306</v>
      </c>
      <c r="C417">
        <v>62</v>
      </c>
      <c r="D417" s="8" t="str" cm="1">
        <f t="array" ref="D417">_xlfn.IFS(C417&lt;=2, "Infant", C417&lt;=11, "Child", C417&lt;=17, "Adolescent", C417&lt;=44, "Young Adult", C417&lt;=64, "Middle Aged", C417&lt;=84,"Young Old", C417&gt;=85,"Oldest Old")</f>
        <v>Middle Aged</v>
      </c>
      <c r="E417" t="s">
        <v>18</v>
      </c>
      <c r="F417" s="4">
        <v>45540</v>
      </c>
      <c r="G417" s="4">
        <v>45545</v>
      </c>
      <c r="H417" s="7">
        <f t="shared" si="18"/>
        <v>5</v>
      </c>
      <c r="I417" t="s">
        <v>60</v>
      </c>
      <c r="J417" t="s">
        <v>142</v>
      </c>
      <c r="K417" s="2">
        <v>13881.6</v>
      </c>
      <c r="L417" s="9">
        <v>0.7</v>
      </c>
      <c r="M417" s="15">
        <f t="shared" si="19"/>
        <v>9717.119999999999</v>
      </c>
      <c r="N417" s="15">
        <f t="shared" si="20"/>
        <v>4164.4800000000014</v>
      </c>
      <c r="O417" t="s">
        <v>15</v>
      </c>
    </row>
    <row r="418" spans="1:15" hidden="1" x14ac:dyDescent="0.35">
      <c r="A418" t="s">
        <v>829</v>
      </c>
      <c r="B418" t="s">
        <v>830</v>
      </c>
      <c r="C418">
        <v>29</v>
      </c>
      <c r="D418" s="8" t="str" cm="1">
        <f t="array" ref="D418">_xlfn.IFS(C418&lt;=2, "Infant", C418&lt;=11, "Child", C418&lt;=17, "Adolescent", C418&lt;=44, "Young Adult", C418&lt;=64, "Middle Aged", C418&lt;=84,"Young Old", C418&gt;=85,"Oldest Old")</f>
        <v>Young Adult</v>
      </c>
      <c r="E418" t="s">
        <v>12</v>
      </c>
      <c r="F418" s="4">
        <v>45748</v>
      </c>
      <c r="G418" s="4">
        <v>45750</v>
      </c>
      <c r="H418" s="7">
        <f t="shared" si="18"/>
        <v>2</v>
      </c>
      <c r="I418" t="s">
        <v>31</v>
      </c>
      <c r="J418" t="s">
        <v>234</v>
      </c>
      <c r="K418" s="2">
        <v>1362.39</v>
      </c>
      <c r="L418" s="9">
        <v>0.8</v>
      </c>
      <c r="M418" s="15">
        <f t="shared" si="19"/>
        <v>1089.912</v>
      </c>
      <c r="N418" s="15">
        <f t="shared" si="20"/>
        <v>272.47800000000007</v>
      </c>
      <c r="O418" t="s">
        <v>15</v>
      </c>
    </row>
    <row r="419" spans="1:15" hidden="1" x14ac:dyDescent="0.35">
      <c r="A419" t="s">
        <v>831</v>
      </c>
      <c r="B419" t="s">
        <v>34</v>
      </c>
      <c r="C419">
        <v>2</v>
      </c>
      <c r="D419" s="8" t="str" cm="1">
        <f t="array" ref="D419">_xlfn.IFS(C419&lt;=2, "Infant", C419&lt;=11, "Child", C419&lt;=17, "Adolescent", C419&lt;=44, "Young Adult", C419&lt;=64, "Middle Aged", C419&lt;=84,"Young Old", C419&gt;=85,"Oldest Old")</f>
        <v>Infant</v>
      </c>
      <c r="E419" t="s">
        <v>12</v>
      </c>
      <c r="F419" s="4">
        <v>45297</v>
      </c>
      <c r="G419" s="4">
        <v>45302</v>
      </c>
      <c r="H419" s="7">
        <f t="shared" si="18"/>
        <v>5</v>
      </c>
      <c r="I419" t="s">
        <v>49</v>
      </c>
      <c r="J419" t="s">
        <v>130</v>
      </c>
      <c r="K419" s="2">
        <v>8510.7800000000007</v>
      </c>
      <c r="L419" s="9">
        <v>0.7</v>
      </c>
      <c r="M419" s="15">
        <f t="shared" si="19"/>
        <v>5957.5460000000003</v>
      </c>
      <c r="N419" s="15">
        <f t="shared" si="20"/>
        <v>2553.2340000000004</v>
      </c>
      <c r="O419" t="s">
        <v>15</v>
      </c>
    </row>
    <row r="420" spans="1:15" hidden="1" x14ac:dyDescent="0.35">
      <c r="A420" t="s">
        <v>832</v>
      </c>
      <c r="B420" t="s">
        <v>144</v>
      </c>
      <c r="C420">
        <v>67</v>
      </c>
      <c r="D420" s="8" t="str" cm="1">
        <f t="array" ref="D420">_xlfn.IFS(C420&lt;=2, "Infant", C420&lt;=11, "Child", C420&lt;=17, "Adolescent", C420&lt;=44, "Young Adult", C420&lt;=64, "Middle Aged", C420&lt;=84,"Young Old", C420&gt;=85,"Oldest Old")</f>
        <v>Young Old</v>
      </c>
      <c r="E420" t="s">
        <v>12</v>
      </c>
      <c r="F420" s="4">
        <v>45564</v>
      </c>
      <c r="G420" s="4">
        <v>45567</v>
      </c>
      <c r="H420" s="7">
        <f t="shared" si="18"/>
        <v>3</v>
      </c>
      <c r="I420" t="s">
        <v>31</v>
      </c>
      <c r="J420" t="s">
        <v>234</v>
      </c>
      <c r="K420" s="2">
        <v>2154.9699999999998</v>
      </c>
      <c r="L420" s="9">
        <v>0.9</v>
      </c>
      <c r="M420" s="15">
        <f t="shared" si="19"/>
        <v>1939.473</v>
      </c>
      <c r="N420" s="15">
        <f t="shared" si="20"/>
        <v>215.49699999999984</v>
      </c>
      <c r="O420" t="s">
        <v>15</v>
      </c>
    </row>
    <row r="421" spans="1:15" hidden="1" x14ac:dyDescent="0.35">
      <c r="A421" t="s">
        <v>833</v>
      </c>
      <c r="B421" t="s">
        <v>216</v>
      </c>
      <c r="C421">
        <v>62</v>
      </c>
      <c r="D421" s="8" t="str" cm="1">
        <f t="array" ref="D421">_xlfn.IFS(C421&lt;=2, "Infant", C421&lt;=11, "Child", C421&lt;=17, "Adolescent", C421&lt;=44, "Young Adult", C421&lt;=64, "Middle Aged", C421&lt;=84,"Young Old", C421&gt;=85,"Oldest Old")</f>
        <v>Middle Aged</v>
      </c>
      <c r="E421" t="s">
        <v>18</v>
      </c>
      <c r="F421" s="4">
        <v>45428</v>
      </c>
      <c r="G421" s="4">
        <v>45431</v>
      </c>
      <c r="H421" s="7">
        <f t="shared" si="18"/>
        <v>3</v>
      </c>
      <c r="I421" t="s">
        <v>31</v>
      </c>
      <c r="J421" t="s">
        <v>234</v>
      </c>
      <c r="K421" s="2">
        <v>1950</v>
      </c>
      <c r="L421" s="9">
        <v>0.8</v>
      </c>
      <c r="M421" s="15">
        <f t="shared" si="19"/>
        <v>1560</v>
      </c>
      <c r="N421" s="15">
        <f t="shared" si="20"/>
        <v>390</v>
      </c>
      <c r="O421" t="s">
        <v>20</v>
      </c>
    </row>
    <row r="422" spans="1:15" hidden="1" x14ac:dyDescent="0.35">
      <c r="A422" t="s">
        <v>834</v>
      </c>
      <c r="B422" t="s">
        <v>835</v>
      </c>
      <c r="C422">
        <v>72</v>
      </c>
      <c r="D422" s="8" t="str" cm="1">
        <f t="array" ref="D422">_xlfn.IFS(C422&lt;=2, "Infant", C422&lt;=11, "Child", C422&lt;=17, "Adolescent", C422&lt;=44, "Young Adult", C422&lt;=64, "Middle Aged", C422&lt;=84,"Young Old", C422&gt;=85,"Oldest Old")</f>
        <v>Young Old</v>
      </c>
      <c r="E422" t="s">
        <v>18</v>
      </c>
      <c r="F422" s="4">
        <v>45524</v>
      </c>
      <c r="G422" s="4">
        <v>45529</v>
      </c>
      <c r="H422" s="7">
        <f t="shared" si="18"/>
        <v>5</v>
      </c>
      <c r="I422" t="s">
        <v>60</v>
      </c>
      <c r="J422" t="s">
        <v>133</v>
      </c>
      <c r="K422" s="2">
        <v>5004.03</v>
      </c>
      <c r="L422" s="9">
        <v>1</v>
      </c>
      <c r="M422" s="15">
        <f t="shared" si="19"/>
        <v>5004.03</v>
      </c>
      <c r="N422" s="15">
        <f t="shared" si="20"/>
        <v>0</v>
      </c>
      <c r="O422" t="s">
        <v>15</v>
      </c>
    </row>
    <row r="423" spans="1:15" hidden="1" x14ac:dyDescent="0.35">
      <c r="A423" t="s">
        <v>836</v>
      </c>
      <c r="B423" t="s">
        <v>504</v>
      </c>
      <c r="C423">
        <v>63</v>
      </c>
      <c r="D423" s="8" t="str" cm="1">
        <f t="array" ref="D423">_xlfn.IFS(C423&lt;=2, "Infant", C423&lt;=11, "Child", C423&lt;=17, "Adolescent", C423&lt;=44, "Young Adult", C423&lt;=64, "Middle Aged", C423&lt;=84,"Young Old", C423&gt;=85,"Oldest Old")</f>
        <v>Middle Aged</v>
      </c>
      <c r="E423" t="s">
        <v>12</v>
      </c>
      <c r="F423" s="4">
        <v>45376</v>
      </c>
      <c r="G423" s="4">
        <v>45383</v>
      </c>
      <c r="H423" s="7">
        <f t="shared" si="18"/>
        <v>7</v>
      </c>
      <c r="I423" t="s">
        <v>70</v>
      </c>
      <c r="J423" t="s">
        <v>157</v>
      </c>
      <c r="K423" s="2">
        <v>7752.04</v>
      </c>
      <c r="L423" s="9">
        <v>0.9</v>
      </c>
      <c r="M423" s="15">
        <f t="shared" si="19"/>
        <v>6976.8360000000002</v>
      </c>
      <c r="N423" s="15">
        <f t="shared" si="20"/>
        <v>775.20399999999972</v>
      </c>
      <c r="O423" t="s">
        <v>15</v>
      </c>
    </row>
    <row r="424" spans="1:15" hidden="1" x14ac:dyDescent="0.35">
      <c r="A424" t="s">
        <v>837</v>
      </c>
      <c r="B424" t="s">
        <v>239</v>
      </c>
      <c r="C424">
        <v>69</v>
      </c>
      <c r="D424" s="8" t="str" cm="1">
        <f t="array" ref="D424">_xlfn.IFS(C424&lt;=2, "Infant", C424&lt;=11, "Child", C424&lt;=17, "Adolescent", C424&lt;=44, "Young Adult", C424&lt;=64, "Middle Aged", C424&lt;=84,"Young Old", C424&gt;=85,"Oldest Old")</f>
        <v>Young Old</v>
      </c>
      <c r="E424" t="s">
        <v>12</v>
      </c>
      <c r="F424" s="4">
        <v>45331</v>
      </c>
      <c r="G424" s="4">
        <v>45336</v>
      </c>
      <c r="H424" s="7">
        <f t="shared" si="18"/>
        <v>5</v>
      </c>
      <c r="I424" t="s">
        <v>60</v>
      </c>
      <c r="J424" t="s">
        <v>97</v>
      </c>
      <c r="K424" s="2">
        <v>6986.97</v>
      </c>
      <c r="L424" s="9">
        <v>1</v>
      </c>
      <c r="M424" s="15">
        <f t="shared" si="19"/>
        <v>6986.97</v>
      </c>
      <c r="N424" s="15">
        <f t="shared" si="20"/>
        <v>0</v>
      </c>
      <c r="O424" t="s">
        <v>20</v>
      </c>
    </row>
    <row r="425" spans="1:15" hidden="1" x14ac:dyDescent="0.35">
      <c r="A425" t="s">
        <v>838</v>
      </c>
      <c r="B425" t="s">
        <v>839</v>
      </c>
      <c r="C425">
        <v>52</v>
      </c>
      <c r="D425" s="8" t="str" cm="1">
        <f t="array" ref="D425">_xlfn.IFS(C425&lt;=2, "Infant", C425&lt;=11, "Child", C425&lt;=17, "Adolescent", C425&lt;=44, "Young Adult", C425&lt;=64, "Middle Aged", C425&lt;=84,"Young Old", C425&gt;=85,"Oldest Old")</f>
        <v>Middle Aged</v>
      </c>
      <c r="E425" t="s">
        <v>12</v>
      </c>
      <c r="F425" s="4">
        <v>45966</v>
      </c>
      <c r="G425" s="4">
        <v>45967</v>
      </c>
      <c r="H425" s="7">
        <f t="shared" si="18"/>
        <v>1</v>
      </c>
      <c r="I425" t="s">
        <v>23</v>
      </c>
      <c r="J425" t="s">
        <v>333</v>
      </c>
      <c r="K425" s="2">
        <v>1744.21</v>
      </c>
      <c r="L425" s="9">
        <v>0.8</v>
      </c>
      <c r="M425" s="15">
        <f t="shared" si="19"/>
        <v>1395.3680000000002</v>
      </c>
      <c r="N425" s="15">
        <f t="shared" si="20"/>
        <v>348.84199999999987</v>
      </c>
      <c r="O425" t="s">
        <v>20</v>
      </c>
    </row>
    <row r="426" spans="1:15" hidden="1" x14ac:dyDescent="0.35">
      <c r="A426" t="s">
        <v>840</v>
      </c>
      <c r="B426" t="s">
        <v>841</v>
      </c>
      <c r="C426">
        <v>28</v>
      </c>
      <c r="D426" s="8" t="str" cm="1">
        <f t="array" ref="D426">_xlfn.IFS(C426&lt;=2, "Infant", C426&lt;=11, "Child", C426&lt;=17, "Adolescent", C426&lt;=44, "Young Adult", C426&lt;=64, "Middle Aged", C426&lt;=84,"Young Old", C426&gt;=85,"Oldest Old")</f>
        <v>Young Adult</v>
      </c>
      <c r="E426" t="s">
        <v>18</v>
      </c>
      <c r="F426" s="4">
        <v>45307</v>
      </c>
      <c r="G426" s="4">
        <v>45320</v>
      </c>
      <c r="H426" s="7">
        <f t="shared" si="18"/>
        <v>13</v>
      </c>
      <c r="I426" t="s">
        <v>60</v>
      </c>
      <c r="J426" t="s">
        <v>142</v>
      </c>
      <c r="K426" s="2">
        <v>23326.29</v>
      </c>
      <c r="L426" s="9">
        <v>0.6</v>
      </c>
      <c r="M426" s="15">
        <f t="shared" si="19"/>
        <v>13995.773999999999</v>
      </c>
      <c r="N426" s="15">
        <f t="shared" si="20"/>
        <v>9330.5160000000014</v>
      </c>
      <c r="O426" t="s">
        <v>15</v>
      </c>
    </row>
    <row r="427" spans="1:15" hidden="1" x14ac:dyDescent="0.35">
      <c r="A427" t="s">
        <v>842</v>
      </c>
      <c r="B427" t="s">
        <v>843</v>
      </c>
      <c r="C427">
        <v>51</v>
      </c>
      <c r="D427" s="8" t="str" cm="1">
        <f t="array" ref="D427">_xlfn.IFS(C427&lt;=2, "Infant", C427&lt;=11, "Child", C427&lt;=17, "Adolescent", C427&lt;=44, "Young Adult", C427&lt;=64, "Middle Aged", C427&lt;=84,"Young Old", C427&gt;=85,"Oldest Old")</f>
        <v>Middle Aged</v>
      </c>
      <c r="E427" t="s">
        <v>18</v>
      </c>
      <c r="F427" s="4">
        <v>45925</v>
      </c>
      <c r="G427" s="4">
        <v>45932</v>
      </c>
      <c r="H427" s="7">
        <f t="shared" si="18"/>
        <v>7</v>
      </c>
      <c r="I427" t="s">
        <v>31</v>
      </c>
      <c r="J427" t="s">
        <v>35</v>
      </c>
      <c r="K427" s="2">
        <v>5587.17</v>
      </c>
      <c r="L427" s="9">
        <v>0.7</v>
      </c>
      <c r="M427" s="15">
        <f t="shared" si="19"/>
        <v>3911.0189999999998</v>
      </c>
      <c r="N427" s="15">
        <f t="shared" si="20"/>
        <v>1676.1510000000003</v>
      </c>
      <c r="O427" t="s">
        <v>20</v>
      </c>
    </row>
    <row r="428" spans="1:15" hidden="1" x14ac:dyDescent="0.35">
      <c r="A428" t="s">
        <v>844</v>
      </c>
      <c r="B428" t="s">
        <v>478</v>
      </c>
      <c r="C428">
        <v>46</v>
      </c>
      <c r="D428" s="8" t="str" cm="1">
        <f t="array" ref="D428">_xlfn.IFS(C428&lt;=2, "Infant", C428&lt;=11, "Child", C428&lt;=17, "Adolescent", C428&lt;=44, "Young Adult", C428&lt;=64, "Middle Aged", C428&lt;=84,"Young Old", C428&gt;=85,"Oldest Old")</f>
        <v>Middle Aged</v>
      </c>
      <c r="E428" t="s">
        <v>18</v>
      </c>
      <c r="F428" s="4">
        <v>45796</v>
      </c>
      <c r="G428" s="4">
        <v>45809</v>
      </c>
      <c r="H428" s="7">
        <f t="shared" si="18"/>
        <v>13</v>
      </c>
      <c r="I428" t="s">
        <v>60</v>
      </c>
      <c r="J428" t="s">
        <v>133</v>
      </c>
      <c r="K428" s="2">
        <v>19329.240000000002</v>
      </c>
      <c r="L428" s="9">
        <v>0.8</v>
      </c>
      <c r="M428" s="15">
        <f t="shared" si="19"/>
        <v>15463.392000000002</v>
      </c>
      <c r="N428" s="15">
        <f t="shared" si="20"/>
        <v>3865.848</v>
      </c>
      <c r="O428" t="s">
        <v>15</v>
      </c>
    </row>
    <row r="429" spans="1:15" hidden="1" x14ac:dyDescent="0.35">
      <c r="A429" t="s">
        <v>845</v>
      </c>
      <c r="B429" t="s">
        <v>846</v>
      </c>
      <c r="C429">
        <v>46</v>
      </c>
      <c r="D429" s="8" t="str" cm="1">
        <f t="array" ref="D429">_xlfn.IFS(C429&lt;=2, "Infant", C429&lt;=11, "Child", C429&lt;=17, "Adolescent", C429&lt;=44, "Young Adult", C429&lt;=64, "Middle Aged", C429&lt;=84,"Young Old", C429&gt;=85,"Oldest Old")</f>
        <v>Middle Aged</v>
      </c>
      <c r="E429" t="s">
        <v>12</v>
      </c>
      <c r="F429" s="4">
        <v>45702</v>
      </c>
      <c r="G429" s="4">
        <v>45710</v>
      </c>
      <c r="H429" s="7">
        <f t="shared" si="18"/>
        <v>8</v>
      </c>
      <c r="I429" t="s">
        <v>13</v>
      </c>
      <c r="J429" t="s">
        <v>14</v>
      </c>
      <c r="K429" s="2">
        <v>20311.28</v>
      </c>
      <c r="L429" s="9">
        <v>0</v>
      </c>
      <c r="M429" s="15">
        <f t="shared" si="19"/>
        <v>0</v>
      </c>
      <c r="N429" s="15">
        <f t="shared" si="20"/>
        <v>20311.28</v>
      </c>
      <c r="O429" t="s">
        <v>20</v>
      </c>
    </row>
    <row r="430" spans="1:15" hidden="1" x14ac:dyDescent="0.35">
      <c r="A430" t="s">
        <v>847</v>
      </c>
      <c r="B430" t="s">
        <v>848</v>
      </c>
      <c r="C430">
        <v>73</v>
      </c>
      <c r="D430" s="8" t="str" cm="1">
        <f t="array" ref="D430">_xlfn.IFS(C430&lt;=2, "Infant", C430&lt;=11, "Child", C430&lt;=17, "Adolescent", C430&lt;=44, "Young Adult", C430&lt;=64, "Middle Aged", C430&lt;=84,"Young Old", C430&gt;=85,"Oldest Old")</f>
        <v>Young Old</v>
      </c>
      <c r="E430" t="s">
        <v>18</v>
      </c>
      <c r="F430" s="4">
        <v>45933</v>
      </c>
      <c r="G430" s="4">
        <v>45936</v>
      </c>
      <c r="H430" s="7">
        <f t="shared" si="18"/>
        <v>3</v>
      </c>
      <c r="I430" t="s">
        <v>23</v>
      </c>
      <c r="J430" t="s">
        <v>24</v>
      </c>
      <c r="K430" s="2">
        <v>2647.99</v>
      </c>
      <c r="L430" s="9">
        <v>0.8</v>
      </c>
      <c r="M430" s="15">
        <f t="shared" si="19"/>
        <v>2118.3919999999998</v>
      </c>
      <c r="N430" s="15">
        <f t="shared" si="20"/>
        <v>529.59799999999996</v>
      </c>
      <c r="O430" t="s">
        <v>20</v>
      </c>
    </row>
    <row r="431" spans="1:15" hidden="1" x14ac:dyDescent="0.35">
      <c r="A431" t="s">
        <v>849</v>
      </c>
      <c r="B431" t="s">
        <v>850</v>
      </c>
      <c r="C431">
        <v>14</v>
      </c>
      <c r="D431" s="8" t="str" cm="1">
        <f t="array" ref="D431">_xlfn.IFS(C431&lt;=2, "Infant", C431&lt;=11, "Child", C431&lt;=17, "Adolescent", C431&lt;=44, "Young Adult", C431&lt;=64, "Middle Aged", C431&lt;=84,"Young Old", C431&gt;=85,"Oldest Old")</f>
        <v>Adolescent</v>
      </c>
      <c r="E431" t="s">
        <v>18</v>
      </c>
      <c r="F431" s="4">
        <v>46005</v>
      </c>
      <c r="G431" s="4">
        <v>46007</v>
      </c>
      <c r="H431" s="7">
        <f t="shared" si="18"/>
        <v>2</v>
      </c>
      <c r="I431" t="s">
        <v>49</v>
      </c>
      <c r="J431" t="s">
        <v>120</v>
      </c>
      <c r="K431" s="2">
        <v>3396.48</v>
      </c>
      <c r="L431" s="9">
        <v>0.9</v>
      </c>
      <c r="M431" s="15">
        <f t="shared" si="19"/>
        <v>3056.8319999999999</v>
      </c>
      <c r="N431" s="15">
        <f t="shared" si="20"/>
        <v>339.64800000000014</v>
      </c>
      <c r="O431" t="s">
        <v>15</v>
      </c>
    </row>
    <row r="432" spans="1:15" hidden="1" x14ac:dyDescent="0.35">
      <c r="A432" t="s">
        <v>851</v>
      </c>
      <c r="B432" t="s">
        <v>852</v>
      </c>
      <c r="C432">
        <v>82</v>
      </c>
      <c r="D432" s="8" t="str" cm="1">
        <f t="array" ref="D432">_xlfn.IFS(C432&lt;=2, "Infant", C432&lt;=11, "Child", C432&lt;=17, "Adolescent", C432&lt;=44, "Young Adult", C432&lt;=64, "Middle Aged", C432&lt;=84,"Young Old", C432&gt;=85,"Oldest Old")</f>
        <v>Young Old</v>
      </c>
      <c r="E432" t="s">
        <v>12</v>
      </c>
      <c r="F432" s="4">
        <v>45341</v>
      </c>
      <c r="G432" s="4">
        <v>45348</v>
      </c>
      <c r="H432" s="7">
        <f t="shared" si="18"/>
        <v>7</v>
      </c>
      <c r="I432" t="s">
        <v>31</v>
      </c>
      <c r="J432" t="s">
        <v>87</v>
      </c>
      <c r="K432" s="2">
        <v>9947.52</v>
      </c>
      <c r="L432" s="9">
        <v>0.6</v>
      </c>
      <c r="M432" s="15">
        <f t="shared" si="19"/>
        <v>5968.5119999999997</v>
      </c>
      <c r="N432" s="15">
        <f t="shared" si="20"/>
        <v>3979.0080000000007</v>
      </c>
      <c r="O432" t="s">
        <v>20</v>
      </c>
    </row>
    <row r="433" spans="1:15" hidden="1" x14ac:dyDescent="0.35">
      <c r="A433" t="s">
        <v>853</v>
      </c>
      <c r="B433" t="s">
        <v>854</v>
      </c>
      <c r="C433">
        <v>11</v>
      </c>
      <c r="D433" s="8" t="str" cm="1">
        <f t="array" ref="D433">_xlfn.IFS(C433&lt;=2, "Infant", C433&lt;=11, "Child", C433&lt;=17, "Adolescent", C433&lt;=44, "Young Adult", C433&lt;=64, "Middle Aged", C433&lt;=84,"Young Old", C433&gt;=85,"Oldest Old")</f>
        <v>Child</v>
      </c>
      <c r="E433" t="s">
        <v>18</v>
      </c>
      <c r="F433" s="4">
        <v>45458</v>
      </c>
      <c r="G433" s="4">
        <v>45460</v>
      </c>
      <c r="H433" s="7">
        <f t="shared" si="18"/>
        <v>2</v>
      </c>
      <c r="I433" t="s">
        <v>49</v>
      </c>
      <c r="J433" t="s">
        <v>123</v>
      </c>
      <c r="K433" s="2">
        <v>2103.42</v>
      </c>
      <c r="L433" s="9">
        <v>0.6</v>
      </c>
      <c r="M433" s="15">
        <f t="shared" si="19"/>
        <v>1262.0519999999999</v>
      </c>
      <c r="N433" s="15">
        <f t="shared" si="20"/>
        <v>841.36800000000017</v>
      </c>
      <c r="O433" t="s">
        <v>20</v>
      </c>
    </row>
    <row r="434" spans="1:15" hidden="1" x14ac:dyDescent="0.35">
      <c r="A434" t="s">
        <v>855</v>
      </c>
      <c r="B434" t="s">
        <v>856</v>
      </c>
      <c r="C434">
        <v>41</v>
      </c>
      <c r="D434" s="8" t="str" cm="1">
        <f t="array" ref="D434">_xlfn.IFS(C434&lt;=2, "Infant", C434&lt;=11, "Child", C434&lt;=17, "Adolescent", C434&lt;=44, "Young Adult", C434&lt;=64, "Middle Aged", C434&lt;=84,"Young Old", C434&gt;=85,"Oldest Old")</f>
        <v>Young Adult</v>
      </c>
      <c r="E434" t="s">
        <v>18</v>
      </c>
      <c r="F434" s="4">
        <v>45476</v>
      </c>
      <c r="G434" s="4">
        <v>45486</v>
      </c>
      <c r="H434" s="7">
        <f t="shared" si="18"/>
        <v>10</v>
      </c>
      <c r="I434" t="s">
        <v>60</v>
      </c>
      <c r="J434" t="s">
        <v>97</v>
      </c>
      <c r="K434" s="2">
        <v>20914.48</v>
      </c>
      <c r="L434" s="9">
        <v>0.5</v>
      </c>
      <c r="M434" s="15">
        <f t="shared" si="19"/>
        <v>10457.24</v>
      </c>
      <c r="N434" s="15">
        <f t="shared" si="20"/>
        <v>10457.24</v>
      </c>
      <c r="O434" t="s">
        <v>20</v>
      </c>
    </row>
    <row r="435" spans="1:15" hidden="1" x14ac:dyDescent="0.35">
      <c r="A435" t="s">
        <v>857</v>
      </c>
      <c r="B435" t="s">
        <v>858</v>
      </c>
      <c r="C435">
        <v>57</v>
      </c>
      <c r="D435" s="8" t="str" cm="1">
        <f t="array" ref="D435">_xlfn.IFS(C435&lt;=2, "Infant", C435&lt;=11, "Child", C435&lt;=17, "Adolescent", C435&lt;=44, "Young Adult", C435&lt;=64, "Middle Aged", C435&lt;=84,"Young Old", C435&gt;=85,"Oldest Old")</f>
        <v>Middle Aged</v>
      </c>
      <c r="E435" t="s">
        <v>12</v>
      </c>
      <c r="F435" s="4">
        <v>45510</v>
      </c>
      <c r="G435" s="4">
        <v>45521</v>
      </c>
      <c r="H435" s="7">
        <f t="shared" si="18"/>
        <v>11</v>
      </c>
      <c r="I435" t="s">
        <v>60</v>
      </c>
      <c r="J435" t="s">
        <v>97</v>
      </c>
      <c r="K435" s="2">
        <v>16613.29</v>
      </c>
      <c r="L435" s="9">
        <v>0.6</v>
      </c>
      <c r="M435" s="15">
        <f t="shared" si="19"/>
        <v>9967.9740000000002</v>
      </c>
      <c r="N435" s="15">
        <f t="shared" si="20"/>
        <v>6645.3160000000007</v>
      </c>
      <c r="O435" t="s">
        <v>25</v>
      </c>
    </row>
    <row r="436" spans="1:15" hidden="1" x14ac:dyDescent="0.35">
      <c r="A436" t="s">
        <v>859</v>
      </c>
      <c r="B436" t="s">
        <v>502</v>
      </c>
      <c r="C436">
        <v>62</v>
      </c>
      <c r="D436" s="8" t="str" cm="1">
        <f t="array" ref="D436">_xlfn.IFS(C436&lt;=2, "Infant", C436&lt;=11, "Child", C436&lt;=17, "Adolescent", C436&lt;=44, "Young Adult", C436&lt;=64, "Middle Aged", C436&lt;=84,"Young Old", C436&gt;=85,"Oldest Old")</f>
        <v>Middle Aged</v>
      </c>
      <c r="E436" t="s">
        <v>18</v>
      </c>
      <c r="F436" s="4">
        <v>45631</v>
      </c>
      <c r="G436" s="4">
        <v>45644</v>
      </c>
      <c r="H436" s="7">
        <f t="shared" si="18"/>
        <v>13</v>
      </c>
      <c r="I436" t="s">
        <v>60</v>
      </c>
      <c r="J436" t="s">
        <v>133</v>
      </c>
      <c r="K436" s="2">
        <v>23037.14</v>
      </c>
      <c r="L436" s="9">
        <v>0.7</v>
      </c>
      <c r="M436" s="15">
        <f t="shared" si="19"/>
        <v>16125.997999999998</v>
      </c>
      <c r="N436" s="15">
        <f t="shared" si="20"/>
        <v>6911.1420000000016</v>
      </c>
      <c r="O436" t="s">
        <v>15</v>
      </c>
    </row>
    <row r="437" spans="1:15" hidden="1" x14ac:dyDescent="0.35">
      <c r="A437" t="s">
        <v>860</v>
      </c>
      <c r="B437" t="s">
        <v>861</v>
      </c>
      <c r="C437">
        <v>23</v>
      </c>
      <c r="D437" s="8" t="str" cm="1">
        <f t="array" ref="D437">_xlfn.IFS(C437&lt;=2, "Infant", C437&lt;=11, "Child", C437&lt;=17, "Adolescent", C437&lt;=44, "Young Adult", C437&lt;=64, "Middle Aged", C437&lt;=84,"Young Old", C437&gt;=85,"Oldest Old")</f>
        <v>Young Adult</v>
      </c>
      <c r="E437" t="s">
        <v>12</v>
      </c>
      <c r="F437" s="4">
        <v>45653</v>
      </c>
      <c r="G437" s="4">
        <v>45654</v>
      </c>
      <c r="H437" s="7">
        <f t="shared" si="18"/>
        <v>1</v>
      </c>
      <c r="I437" t="s">
        <v>31</v>
      </c>
      <c r="J437" t="s">
        <v>114</v>
      </c>
      <c r="K437" s="2">
        <v>618.74</v>
      </c>
      <c r="L437" s="9">
        <v>0.8</v>
      </c>
      <c r="M437" s="15">
        <f t="shared" si="19"/>
        <v>494.99200000000002</v>
      </c>
      <c r="N437" s="15">
        <f t="shared" si="20"/>
        <v>123.74799999999999</v>
      </c>
      <c r="O437" t="s">
        <v>15</v>
      </c>
    </row>
    <row r="438" spans="1:15" hidden="1" x14ac:dyDescent="0.35">
      <c r="A438" t="s">
        <v>862</v>
      </c>
      <c r="B438" t="s">
        <v>863</v>
      </c>
      <c r="C438">
        <v>42</v>
      </c>
      <c r="D438" s="8" t="str" cm="1">
        <f t="array" ref="D438">_xlfn.IFS(C438&lt;=2, "Infant", C438&lt;=11, "Child", C438&lt;=17, "Adolescent", C438&lt;=44, "Young Adult", C438&lt;=64, "Middle Aged", C438&lt;=84,"Young Old", C438&gt;=85,"Oldest Old")</f>
        <v>Young Adult</v>
      </c>
      <c r="E438" t="s">
        <v>12</v>
      </c>
      <c r="F438" s="4">
        <v>45952</v>
      </c>
      <c r="G438" s="4">
        <v>45955</v>
      </c>
      <c r="H438" s="7">
        <f t="shared" si="18"/>
        <v>3</v>
      </c>
      <c r="I438" t="s">
        <v>31</v>
      </c>
      <c r="J438" t="s">
        <v>35</v>
      </c>
      <c r="K438" s="2">
        <v>3292.07</v>
      </c>
      <c r="L438" s="9">
        <v>0.5</v>
      </c>
      <c r="M438" s="15">
        <f t="shared" si="19"/>
        <v>1646.0350000000001</v>
      </c>
      <c r="N438" s="15">
        <f t="shared" si="20"/>
        <v>1646.0350000000001</v>
      </c>
      <c r="O438" t="s">
        <v>15</v>
      </c>
    </row>
    <row r="439" spans="1:15" hidden="1" x14ac:dyDescent="0.35">
      <c r="A439" t="s">
        <v>864</v>
      </c>
      <c r="B439" t="s">
        <v>630</v>
      </c>
      <c r="C439">
        <v>48</v>
      </c>
      <c r="D439" s="8" t="str" cm="1">
        <f t="array" ref="D439">_xlfn.IFS(C439&lt;=2, "Infant", C439&lt;=11, "Child", C439&lt;=17, "Adolescent", C439&lt;=44, "Young Adult", C439&lt;=64, "Middle Aged", C439&lt;=84,"Young Old", C439&gt;=85,"Oldest Old")</f>
        <v>Middle Aged</v>
      </c>
      <c r="E439" t="s">
        <v>12</v>
      </c>
      <c r="F439" s="4">
        <v>45292</v>
      </c>
      <c r="G439" s="4">
        <v>45296</v>
      </c>
      <c r="H439" s="7">
        <f t="shared" si="18"/>
        <v>4</v>
      </c>
      <c r="I439" t="s">
        <v>31</v>
      </c>
      <c r="J439" t="s">
        <v>44</v>
      </c>
      <c r="K439" s="2">
        <v>5249.64</v>
      </c>
      <c r="L439" s="9">
        <v>0.9</v>
      </c>
      <c r="M439" s="15">
        <f t="shared" si="19"/>
        <v>4724.6760000000004</v>
      </c>
      <c r="N439" s="15">
        <f t="shared" si="20"/>
        <v>524.96399999999994</v>
      </c>
      <c r="O439" t="s">
        <v>15</v>
      </c>
    </row>
    <row r="440" spans="1:15" hidden="1" x14ac:dyDescent="0.35">
      <c r="A440" t="s">
        <v>865</v>
      </c>
      <c r="B440" t="s">
        <v>866</v>
      </c>
      <c r="C440">
        <v>71</v>
      </c>
      <c r="D440" s="8" t="str" cm="1">
        <f t="array" ref="D440">_xlfn.IFS(C440&lt;=2, "Infant", C440&lt;=11, "Child", C440&lt;=17, "Adolescent", C440&lt;=44, "Young Adult", C440&lt;=64, "Middle Aged", C440&lt;=84,"Young Old", C440&gt;=85,"Oldest Old")</f>
        <v>Young Old</v>
      </c>
      <c r="E440" t="s">
        <v>12</v>
      </c>
      <c r="F440" s="4">
        <v>45885</v>
      </c>
      <c r="G440" s="4">
        <v>45890</v>
      </c>
      <c r="H440" s="7">
        <f t="shared" si="18"/>
        <v>5</v>
      </c>
      <c r="I440" t="s">
        <v>60</v>
      </c>
      <c r="J440" t="s">
        <v>77</v>
      </c>
      <c r="K440" s="2">
        <v>5726.98</v>
      </c>
      <c r="L440" s="9">
        <v>0.8</v>
      </c>
      <c r="M440" s="15">
        <f t="shared" si="19"/>
        <v>4581.5839999999998</v>
      </c>
      <c r="N440" s="15">
        <f t="shared" si="20"/>
        <v>1145.3959999999997</v>
      </c>
      <c r="O440" t="s">
        <v>15</v>
      </c>
    </row>
    <row r="441" spans="1:15" hidden="1" x14ac:dyDescent="0.35">
      <c r="A441" t="s">
        <v>867</v>
      </c>
      <c r="B441" t="s">
        <v>868</v>
      </c>
      <c r="C441">
        <v>16</v>
      </c>
      <c r="D441" s="8" t="str" cm="1">
        <f t="array" ref="D441">_xlfn.IFS(C441&lt;=2, "Infant", C441&lt;=11, "Child", C441&lt;=17, "Adolescent", C441&lt;=44, "Young Adult", C441&lt;=64, "Middle Aged", C441&lt;=84,"Young Old", C441&gt;=85,"Oldest Old")</f>
        <v>Adolescent</v>
      </c>
      <c r="E441" t="s">
        <v>12</v>
      </c>
      <c r="F441" s="4">
        <v>45424</v>
      </c>
      <c r="G441" s="4">
        <v>45426</v>
      </c>
      <c r="H441" s="7">
        <f t="shared" si="18"/>
        <v>2</v>
      </c>
      <c r="I441" t="s">
        <v>49</v>
      </c>
      <c r="J441" t="s">
        <v>117</v>
      </c>
      <c r="K441" s="2">
        <v>3417.93</v>
      </c>
      <c r="L441" s="9">
        <v>1</v>
      </c>
      <c r="M441" s="15">
        <f t="shared" si="19"/>
        <v>3417.93</v>
      </c>
      <c r="N441" s="15">
        <f t="shared" si="20"/>
        <v>0</v>
      </c>
      <c r="O441" t="s">
        <v>15</v>
      </c>
    </row>
    <row r="442" spans="1:15" x14ac:dyDescent="0.35">
      <c r="A442" t="s">
        <v>869</v>
      </c>
      <c r="B442" t="s">
        <v>870</v>
      </c>
      <c r="C442">
        <v>73</v>
      </c>
      <c r="D442" s="8" t="str" cm="1">
        <f t="array" ref="D442">_xlfn.IFS(C442&lt;=2, "Infant", C442&lt;=11, "Child", C442&lt;=17, "Adolescent", C442&lt;=44, "Young Adult", C442&lt;=64, "Middle Aged", C442&lt;=84,"Young Old", C442&gt;=85,"Oldest Old")</f>
        <v>Young Old</v>
      </c>
      <c r="E442" t="s">
        <v>18</v>
      </c>
      <c r="F442" s="4">
        <v>45542</v>
      </c>
      <c r="G442" s="4">
        <v>45549</v>
      </c>
      <c r="H442" s="7">
        <f t="shared" si="18"/>
        <v>7</v>
      </c>
      <c r="I442" t="s">
        <v>31</v>
      </c>
      <c r="J442" t="s">
        <v>32</v>
      </c>
      <c r="K442" s="2">
        <v>4075.7</v>
      </c>
      <c r="L442" s="9">
        <v>1</v>
      </c>
      <c r="M442" s="15">
        <f t="shared" si="19"/>
        <v>4075.7</v>
      </c>
      <c r="N442" s="15">
        <f t="shared" si="20"/>
        <v>0</v>
      </c>
      <c r="O442" t="s">
        <v>15</v>
      </c>
    </row>
    <row r="443" spans="1:15" hidden="1" x14ac:dyDescent="0.35">
      <c r="A443" t="s">
        <v>871</v>
      </c>
      <c r="B443" t="s">
        <v>872</v>
      </c>
      <c r="C443">
        <v>17</v>
      </c>
      <c r="D443" s="8" t="str" cm="1">
        <f t="array" ref="D443">_xlfn.IFS(C443&lt;=2, "Infant", C443&lt;=11, "Child", C443&lt;=17, "Adolescent", C443&lt;=44, "Young Adult", C443&lt;=64, "Middle Aged", C443&lt;=84,"Young Old", C443&gt;=85,"Oldest Old")</f>
        <v>Adolescent</v>
      </c>
      <c r="E443" t="s">
        <v>12</v>
      </c>
      <c r="F443" s="4">
        <v>45707</v>
      </c>
      <c r="G443" s="4">
        <v>45709</v>
      </c>
      <c r="H443" s="7">
        <f t="shared" si="18"/>
        <v>2</v>
      </c>
      <c r="I443" t="s">
        <v>49</v>
      </c>
      <c r="J443" t="s">
        <v>117</v>
      </c>
      <c r="K443" s="2">
        <v>1245.26</v>
      </c>
      <c r="L443" s="9">
        <v>1</v>
      </c>
      <c r="M443" s="15">
        <f t="shared" si="19"/>
        <v>1245.26</v>
      </c>
      <c r="N443" s="15">
        <f t="shared" si="20"/>
        <v>0</v>
      </c>
      <c r="O443" t="s">
        <v>15</v>
      </c>
    </row>
    <row r="444" spans="1:15" hidden="1" x14ac:dyDescent="0.35">
      <c r="A444" t="s">
        <v>873</v>
      </c>
      <c r="B444" t="s">
        <v>874</v>
      </c>
      <c r="C444">
        <v>49</v>
      </c>
      <c r="D444" s="8" t="str" cm="1">
        <f t="array" ref="D444">_xlfn.IFS(C444&lt;=2, "Infant", C444&lt;=11, "Child", C444&lt;=17, "Adolescent", C444&lt;=44, "Young Adult", C444&lt;=64, "Middle Aged", C444&lt;=84,"Young Old", C444&gt;=85,"Oldest Old")</f>
        <v>Middle Aged</v>
      </c>
      <c r="E444" t="s">
        <v>12</v>
      </c>
      <c r="F444" s="4">
        <v>45904</v>
      </c>
      <c r="G444" s="4">
        <v>45905</v>
      </c>
      <c r="H444" s="7">
        <f t="shared" si="18"/>
        <v>1</v>
      </c>
      <c r="I444" t="s">
        <v>31</v>
      </c>
      <c r="J444" t="s">
        <v>87</v>
      </c>
      <c r="K444" s="2">
        <v>1338.57</v>
      </c>
      <c r="L444" s="9">
        <v>1</v>
      </c>
      <c r="M444" s="15">
        <f t="shared" si="19"/>
        <v>1338.57</v>
      </c>
      <c r="N444" s="15">
        <f t="shared" si="20"/>
        <v>0</v>
      </c>
      <c r="O444" t="s">
        <v>20</v>
      </c>
    </row>
    <row r="445" spans="1:15" hidden="1" x14ac:dyDescent="0.35">
      <c r="A445" t="s">
        <v>875</v>
      </c>
      <c r="B445" t="s">
        <v>622</v>
      </c>
      <c r="C445">
        <v>41</v>
      </c>
      <c r="D445" s="8" t="str" cm="1">
        <f t="array" ref="D445">_xlfn.IFS(C445&lt;=2, "Infant", C445&lt;=11, "Child", C445&lt;=17, "Adolescent", C445&lt;=44, "Young Adult", C445&lt;=64, "Middle Aged", C445&lt;=84,"Young Old", C445&gt;=85,"Oldest Old")</f>
        <v>Young Adult</v>
      </c>
      <c r="E445" t="s">
        <v>18</v>
      </c>
      <c r="F445" s="4">
        <v>45761</v>
      </c>
      <c r="G445" s="4">
        <v>45768</v>
      </c>
      <c r="H445" s="7">
        <f t="shared" si="18"/>
        <v>7</v>
      </c>
      <c r="I445" t="s">
        <v>70</v>
      </c>
      <c r="J445" t="s">
        <v>295</v>
      </c>
      <c r="K445" s="2">
        <v>11778.46</v>
      </c>
      <c r="L445" s="9">
        <v>0.6</v>
      </c>
      <c r="M445" s="15">
        <f t="shared" si="19"/>
        <v>7067.0759999999991</v>
      </c>
      <c r="N445" s="15">
        <f t="shared" si="20"/>
        <v>4711.384</v>
      </c>
      <c r="O445" t="s">
        <v>25</v>
      </c>
    </row>
    <row r="446" spans="1:15" hidden="1" x14ac:dyDescent="0.35">
      <c r="A446" t="s">
        <v>876</v>
      </c>
      <c r="B446" t="s">
        <v>877</v>
      </c>
      <c r="C446">
        <v>65</v>
      </c>
      <c r="D446" s="8" t="str" cm="1">
        <f t="array" ref="D446">_xlfn.IFS(C446&lt;=2, "Infant", C446&lt;=11, "Child", C446&lt;=17, "Adolescent", C446&lt;=44, "Young Adult", C446&lt;=64, "Middle Aged", C446&lt;=84,"Young Old", C446&gt;=85,"Oldest Old")</f>
        <v>Young Old</v>
      </c>
      <c r="E446" t="s">
        <v>12</v>
      </c>
      <c r="F446" s="4">
        <v>45675</v>
      </c>
      <c r="G446" s="4">
        <v>45678</v>
      </c>
      <c r="H446" s="7">
        <f t="shared" si="18"/>
        <v>3</v>
      </c>
      <c r="I446" t="s">
        <v>13</v>
      </c>
      <c r="J446" t="s">
        <v>165</v>
      </c>
      <c r="K446" s="2">
        <v>6875.63</v>
      </c>
      <c r="L446" s="9">
        <v>0.7</v>
      </c>
      <c r="M446" s="15">
        <f t="shared" si="19"/>
        <v>4812.9409999999998</v>
      </c>
      <c r="N446" s="15">
        <f t="shared" si="20"/>
        <v>2062.6890000000003</v>
      </c>
      <c r="O446" t="s">
        <v>20</v>
      </c>
    </row>
    <row r="447" spans="1:15" hidden="1" x14ac:dyDescent="0.35">
      <c r="A447" t="s">
        <v>878</v>
      </c>
      <c r="B447" t="s">
        <v>879</v>
      </c>
      <c r="C447">
        <v>36</v>
      </c>
      <c r="D447" s="8" t="str" cm="1">
        <f t="array" ref="D447">_xlfn.IFS(C447&lt;=2, "Infant", C447&lt;=11, "Child", C447&lt;=17, "Adolescent", C447&lt;=44, "Young Adult", C447&lt;=64, "Middle Aged", C447&lt;=84,"Young Old", C447&gt;=85,"Oldest Old")</f>
        <v>Young Adult</v>
      </c>
      <c r="E447" t="s">
        <v>12</v>
      </c>
      <c r="F447" s="4">
        <v>45833</v>
      </c>
      <c r="G447" s="4">
        <v>45838</v>
      </c>
      <c r="H447" s="7">
        <f t="shared" si="18"/>
        <v>5</v>
      </c>
      <c r="I447" t="s">
        <v>31</v>
      </c>
      <c r="J447" t="s">
        <v>87</v>
      </c>
      <c r="K447" s="2">
        <v>4520</v>
      </c>
      <c r="L447" s="9">
        <v>0.9</v>
      </c>
      <c r="M447" s="15">
        <f t="shared" si="19"/>
        <v>4068</v>
      </c>
      <c r="N447" s="15">
        <f t="shared" si="20"/>
        <v>452</v>
      </c>
      <c r="O447" t="s">
        <v>15</v>
      </c>
    </row>
    <row r="448" spans="1:15" hidden="1" x14ac:dyDescent="0.35">
      <c r="A448" t="s">
        <v>880</v>
      </c>
      <c r="B448" t="s">
        <v>881</v>
      </c>
      <c r="C448">
        <v>47</v>
      </c>
      <c r="D448" s="8" t="str" cm="1">
        <f t="array" ref="D448">_xlfn.IFS(C448&lt;=2, "Infant", C448&lt;=11, "Child", C448&lt;=17, "Adolescent", C448&lt;=44, "Young Adult", C448&lt;=64, "Middle Aged", C448&lt;=84,"Young Old", C448&gt;=85,"Oldest Old")</f>
        <v>Middle Aged</v>
      </c>
      <c r="E448" t="s">
        <v>12</v>
      </c>
      <c r="F448" s="4">
        <v>45296</v>
      </c>
      <c r="G448" s="4">
        <v>45307</v>
      </c>
      <c r="H448" s="7">
        <f t="shared" si="18"/>
        <v>11</v>
      </c>
      <c r="I448" t="s">
        <v>60</v>
      </c>
      <c r="J448" t="s">
        <v>74</v>
      </c>
      <c r="K448" s="2">
        <v>11719.07</v>
      </c>
      <c r="L448" s="9">
        <v>0.8</v>
      </c>
      <c r="M448" s="15">
        <f t="shared" si="19"/>
        <v>9375.2559999999994</v>
      </c>
      <c r="N448" s="15">
        <f t="shared" si="20"/>
        <v>2343.8140000000003</v>
      </c>
      <c r="O448" t="s">
        <v>15</v>
      </c>
    </row>
    <row r="449" spans="1:15" hidden="1" x14ac:dyDescent="0.35">
      <c r="A449" t="s">
        <v>882</v>
      </c>
      <c r="B449" t="s">
        <v>883</v>
      </c>
      <c r="C449">
        <v>74</v>
      </c>
      <c r="D449" s="8" t="str" cm="1">
        <f t="array" ref="D449">_xlfn.IFS(C449&lt;=2, "Infant", C449&lt;=11, "Child", C449&lt;=17, "Adolescent", C449&lt;=44, "Young Adult", C449&lt;=64, "Middle Aged", C449&lt;=84,"Young Old", C449&gt;=85,"Oldest Old")</f>
        <v>Young Old</v>
      </c>
      <c r="E449" t="s">
        <v>18</v>
      </c>
      <c r="F449" s="4">
        <v>45846</v>
      </c>
      <c r="G449" s="4">
        <v>45857</v>
      </c>
      <c r="H449" s="7">
        <f t="shared" si="18"/>
        <v>11</v>
      </c>
      <c r="I449" t="s">
        <v>70</v>
      </c>
      <c r="J449" t="s">
        <v>237</v>
      </c>
      <c r="K449" s="2">
        <v>13712.17</v>
      </c>
      <c r="L449" s="9">
        <v>0.8</v>
      </c>
      <c r="M449" s="15">
        <f t="shared" si="19"/>
        <v>10969.736000000001</v>
      </c>
      <c r="N449" s="15">
        <f t="shared" si="20"/>
        <v>2742.4339999999993</v>
      </c>
      <c r="O449" t="s">
        <v>15</v>
      </c>
    </row>
    <row r="450" spans="1:15" hidden="1" x14ac:dyDescent="0.35">
      <c r="A450" t="s">
        <v>884</v>
      </c>
      <c r="B450" t="s">
        <v>290</v>
      </c>
      <c r="C450">
        <v>73</v>
      </c>
      <c r="D450" s="8" t="str" cm="1">
        <f t="array" ref="D450">_xlfn.IFS(C450&lt;=2, "Infant", C450&lt;=11, "Child", C450&lt;=17, "Adolescent", C450&lt;=44, "Young Adult", C450&lt;=64, "Middle Aged", C450&lt;=84,"Young Old", C450&gt;=85,"Oldest Old")</f>
        <v>Young Old</v>
      </c>
      <c r="E450" t="s">
        <v>12</v>
      </c>
      <c r="F450" s="4">
        <v>45540</v>
      </c>
      <c r="G450" s="4">
        <v>45541</v>
      </c>
      <c r="H450" s="7">
        <f t="shared" si="18"/>
        <v>1</v>
      </c>
      <c r="I450" t="s">
        <v>23</v>
      </c>
      <c r="J450" t="s">
        <v>204</v>
      </c>
      <c r="K450" s="2">
        <v>2492.86</v>
      </c>
      <c r="L450" s="9">
        <v>1</v>
      </c>
      <c r="M450" s="15">
        <f t="shared" si="19"/>
        <v>2492.86</v>
      </c>
      <c r="N450" s="15">
        <f t="shared" si="20"/>
        <v>0</v>
      </c>
      <c r="O450" t="s">
        <v>15</v>
      </c>
    </row>
    <row r="451" spans="1:15" hidden="1" x14ac:dyDescent="0.35">
      <c r="A451" t="s">
        <v>885</v>
      </c>
      <c r="B451" t="s">
        <v>233</v>
      </c>
      <c r="C451">
        <v>19</v>
      </c>
      <c r="D451" s="8" t="str" cm="1">
        <f t="array" ref="D451">_xlfn.IFS(C451&lt;=2, "Infant", C451&lt;=11, "Child", C451&lt;=17, "Adolescent", C451&lt;=44, "Young Adult", C451&lt;=64, "Middle Aged", C451&lt;=84,"Young Old", C451&gt;=85,"Oldest Old")</f>
        <v>Young Adult</v>
      </c>
      <c r="E451" t="s">
        <v>12</v>
      </c>
      <c r="F451" s="4">
        <v>45832</v>
      </c>
      <c r="G451" s="4">
        <v>45833</v>
      </c>
      <c r="H451" s="7">
        <f t="shared" ref="H451:H514" si="21">DATEDIF(F451,G451,"D")</f>
        <v>1</v>
      </c>
      <c r="I451" t="s">
        <v>23</v>
      </c>
      <c r="J451" t="s">
        <v>28</v>
      </c>
      <c r="K451" s="2">
        <v>1867.11</v>
      </c>
      <c r="L451" s="9">
        <v>0.8</v>
      </c>
      <c r="M451" s="15">
        <f t="shared" ref="M451:M514" si="22">L451*K451</f>
        <v>1493.6880000000001</v>
      </c>
      <c r="N451" s="15">
        <f t="shared" ref="N451:N514" si="23">K451-M451</f>
        <v>373.4219999999998</v>
      </c>
      <c r="O451" t="s">
        <v>15</v>
      </c>
    </row>
    <row r="452" spans="1:15" hidden="1" x14ac:dyDescent="0.35">
      <c r="A452" t="s">
        <v>886</v>
      </c>
      <c r="B452" t="s">
        <v>592</v>
      </c>
      <c r="C452">
        <v>68</v>
      </c>
      <c r="D452" s="8" t="str" cm="1">
        <f t="array" ref="D452">_xlfn.IFS(C452&lt;=2, "Infant", C452&lt;=11, "Child", C452&lt;=17, "Adolescent", C452&lt;=44, "Young Adult", C452&lt;=64, "Middle Aged", C452&lt;=84,"Young Old", C452&gt;=85,"Oldest Old")</f>
        <v>Young Old</v>
      </c>
      <c r="E452" t="s">
        <v>12</v>
      </c>
      <c r="F452" s="4">
        <v>45482</v>
      </c>
      <c r="G452" s="4">
        <v>45489</v>
      </c>
      <c r="H452" s="7">
        <f t="shared" si="21"/>
        <v>7</v>
      </c>
      <c r="I452" t="s">
        <v>13</v>
      </c>
      <c r="J452" t="s">
        <v>14</v>
      </c>
      <c r="K452" s="2">
        <v>9821.73</v>
      </c>
      <c r="L452" s="9">
        <v>0.8</v>
      </c>
      <c r="M452" s="15">
        <f t="shared" si="22"/>
        <v>7857.384</v>
      </c>
      <c r="N452" s="15">
        <f t="shared" si="23"/>
        <v>1964.3459999999995</v>
      </c>
      <c r="O452" t="s">
        <v>15</v>
      </c>
    </row>
    <row r="453" spans="1:15" hidden="1" x14ac:dyDescent="0.35">
      <c r="A453" t="s">
        <v>887</v>
      </c>
      <c r="B453" t="s">
        <v>888</v>
      </c>
      <c r="C453">
        <v>46</v>
      </c>
      <c r="D453" s="8" t="str" cm="1">
        <f t="array" ref="D453">_xlfn.IFS(C453&lt;=2, "Infant", C453&lt;=11, "Child", C453&lt;=17, "Adolescent", C453&lt;=44, "Young Adult", C453&lt;=64, "Middle Aged", C453&lt;=84,"Young Old", C453&gt;=85,"Oldest Old")</f>
        <v>Middle Aged</v>
      </c>
      <c r="E453" t="s">
        <v>18</v>
      </c>
      <c r="F453" s="4">
        <v>45382</v>
      </c>
      <c r="G453" s="4">
        <v>45389</v>
      </c>
      <c r="H453" s="7">
        <f t="shared" si="21"/>
        <v>7</v>
      </c>
      <c r="I453" t="s">
        <v>70</v>
      </c>
      <c r="J453" t="s">
        <v>71</v>
      </c>
      <c r="K453" s="2">
        <v>9183.36</v>
      </c>
      <c r="L453" s="9">
        <v>0</v>
      </c>
      <c r="M453" s="15">
        <f t="shared" si="22"/>
        <v>0</v>
      </c>
      <c r="N453" s="15">
        <f t="shared" si="23"/>
        <v>9183.36</v>
      </c>
      <c r="O453" t="s">
        <v>20</v>
      </c>
    </row>
    <row r="454" spans="1:15" hidden="1" x14ac:dyDescent="0.35">
      <c r="A454" t="s">
        <v>889</v>
      </c>
      <c r="B454" t="s">
        <v>890</v>
      </c>
      <c r="C454">
        <v>59</v>
      </c>
      <c r="D454" s="8" t="str" cm="1">
        <f t="array" ref="D454">_xlfn.IFS(C454&lt;=2, "Infant", C454&lt;=11, "Child", C454&lt;=17, "Adolescent", C454&lt;=44, "Young Adult", C454&lt;=64, "Middle Aged", C454&lt;=84,"Young Old", C454&gt;=85,"Oldest Old")</f>
        <v>Middle Aged</v>
      </c>
      <c r="E454" t="s">
        <v>12</v>
      </c>
      <c r="F454" s="4">
        <v>45680</v>
      </c>
      <c r="G454" s="4">
        <v>45682</v>
      </c>
      <c r="H454" s="7">
        <f t="shared" si="21"/>
        <v>2</v>
      </c>
      <c r="I454" t="s">
        <v>31</v>
      </c>
      <c r="J454" t="s">
        <v>87</v>
      </c>
      <c r="K454" s="2">
        <v>1293.94</v>
      </c>
      <c r="L454" s="9">
        <v>1</v>
      </c>
      <c r="M454" s="15">
        <f t="shared" si="22"/>
        <v>1293.94</v>
      </c>
      <c r="N454" s="15">
        <f t="shared" si="23"/>
        <v>0</v>
      </c>
      <c r="O454" t="s">
        <v>15</v>
      </c>
    </row>
    <row r="455" spans="1:15" hidden="1" x14ac:dyDescent="0.35">
      <c r="A455" t="s">
        <v>891</v>
      </c>
      <c r="B455" t="s">
        <v>529</v>
      </c>
      <c r="C455">
        <v>48</v>
      </c>
      <c r="D455" s="8" t="str" cm="1">
        <f t="array" ref="D455">_xlfn.IFS(C455&lt;=2, "Infant", C455&lt;=11, "Child", C455&lt;=17, "Adolescent", C455&lt;=44, "Young Adult", C455&lt;=64, "Middle Aged", C455&lt;=84,"Young Old", C455&gt;=85,"Oldest Old")</f>
        <v>Middle Aged</v>
      </c>
      <c r="E455" t="s">
        <v>18</v>
      </c>
      <c r="F455" s="4">
        <v>45586</v>
      </c>
      <c r="G455" s="4">
        <v>45595</v>
      </c>
      <c r="H455" s="7">
        <f t="shared" si="21"/>
        <v>9</v>
      </c>
      <c r="I455" t="s">
        <v>13</v>
      </c>
      <c r="J455" t="s">
        <v>165</v>
      </c>
      <c r="K455" s="2">
        <v>23400.73</v>
      </c>
      <c r="L455" s="9">
        <v>1</v>
      </c>
      <c r="M455" s="15">
        <f t="shared" si="22"/>
        <v>23400.73</v>
      </c>
      <c r="N455" s="15">
        <f t="shared" si="23"/>
        <v>0</v>
      </c>
      <c r="O455" t="s">
        <v>15</v>
      </c>
    </row>
    <row r="456" spans="1:15" x14ac:dyDescent="0.35">
      <c r="A456" t="s">
        <v>892</v>
      </c>
      <c r="B456" t="s">
        <v>893</v>
      </c>
      <c r="C456">
        <v>68</v>
      </c>
      <c r="D456" s="8" t="str" cm="1">
        <f t="array" ref="D456">_xlfn.IFS(C456&lt;=2, "Infant", C456&lt;=11, "Child", C456&lt;=17, "Adolescent", C456&lt;=44, "Young Adult", C456&lt;=64, "Middle Aged", C456&lt;=84,"Young Old", C456&gt;=85,"Oldest Old")</f>
        <v>Young Old</v>
      </c>
      <c r="E456" t="s">
        <v>18</v>
      </c>
      <c r="F456" s="4">
        <v>45966</v>
      </c>
      <c r="G456" s="4">
        <v>45971</v>
      </c>
      <c r="H456" s="7">
        <f t="shared" si="21"/>
        <v>5</v>
      </c>
      <c r="I456" t="s">
        <v>31</v>
      </c>
      <c r="J456" t="s">
        <v>32</v>
      </c>
      <c r="K456" s="2">
        <v>5575.83</v>
      </c>
      <c r="L456" s="9">
        <v>0.7</v>
      </c>
      <c r="M456" s="15">
        <f t="shared" si="22"/>
        <v>3903.0809999999997</v>
      </c>
      <c r="N456" s="15">
        <f t="shared" si="23"/>
        <v>1672.7490000000003</v>
      </c>
      <c r="O456" t="s">
        <v>15</v>
      </c>
    </row>
    <row r="457" spans="1:15" hidden="1" x14ac:dyDescent="0.35">
      <c r="A457" t="s">
        <v>894</v>
      </c>
      <c r="B457" t="s">
        <v>895</v>
      </c>
      <c r="C457">
        <v>22</v>
      </c>
      <c r="D457" s="8" t="str" cm="1">
        <f t="array" ref="D457">_xlfn.IFS(C457&lt;=2, "Infant", C457&lt;=11, "Child", C457&lt;=17, "Adolescent", C457&lt;=44, "Young Adult", C457&lt;=64, "Middle Aged", C457&lt;=84,"Young Old", C457&gt;=85,"Oldest Old")</f>
        <v>Young Adult</v>
      </c>
      <c r="E457" t="s">
        <v>18</v>
      </c>
      <c r="F457" s="4">
        <v>45398</v>
      </c>
      <c r="G457" s="4">
        <v>45399</v>
      </c>
      <c r="H457" s="7">
        <f t="shared" si="21"/>
        <v>1</v>
      </c>
      <c r="I457" t="s">
        <v>31</v>
      </c>
      <c r="J457" t="s">
        <v>35</v>
      </c>
      <c r="K457" s="2">
        <v>711.37</v>
      </c>
      <c r="L457" s="9">
        <v>0.9</v>
      </c>
      <c r="M457" s="15">
        <f t="shared" si="22"/>
        <v>640.23300000000006</v>
      </c>
      <c r="N457" s="15">
        <f t="shared" si="23"/>
        <v>71.136999999999944</v>
      </c>
      <c r="O457" t="s">
        <v>20</v>
      </c>
    </row>
    <row r="458" spans="1:15" hidden="1" x14ac:dyDescent="0.35">
      <c r="A458" t="s">
        <v>896</v>
      </c>
      <c r="B458" t="s">
        <v>897</v>
      </c>
      <c r="C458">
        <v>55</v>
      </c>
      <c r="D458" s="8" t="str" cm="1">
        <f t="array" ref="D458">_xlfn.IFS(C458&lt;=2, "Infant", C458&lt;=11, "Child", C458&lt;=17, "Adolescent", C458&lt;=44, "Young Adult", C458&lt;=64, "Middle Aged", C458&lt;=84,"Young Old", C458&gt;=85,"Oldest Old")</f>
        <v>Middle Aged</v>
      </c>
      <c r="E458" t="s">
        <v>12</v>
      </c>
      <c r="F458" s="4">
        <v>46014</v>
      </c>
      <c r="G458" s="4">
        <v>46017</v>
      </c>
      <c r="H458" s="7">
        <f t="shared" si="21"/>
        <v>3</v>
      </c>
      <c r="I458" t="s">
        <v>23</v>
      </c>
      <c r="J458" t="s">
        <v>221</v>
      </c>
      <c r="K458" s="2">
        <v>3304.36</v>
      </c>
      <c r="L458" s="9">
        <v>0.6</v>
      </c>
      <c r="M458" s="15">
        <f t="shared" si="22"/>
        <v>1982.616</v>
      </c>
      <c r="N458" s="15">
        <f t="shared" si="23"/>
        <v>1321.7440000000001</v>
      </c>
      <c r="O458" t="s">
        <v>15</v>
      </c>
    </row>
    <row r="459" spans="1:15" hidden="1" x14ac:dyDescent="0.35">
      <c r="A459" t="s">
        <v>898</v>
      </c>
      <c r="B459" t="s">
        <v>839</v>
      </c>
      <c r="C459">
        <v>48</v>
      </c>
      <c r="D459" s="8" t="str" cm="1">
        <f t="array" ref="D459">_xlfn.IFS(C459&lt;=2, "Infant", C459&lt;=11, "Child", C459&lt;=17, "Adolescent", C459&lt;=44, "Young Adult", C459&lt;=64, "Middle Aged", C459&lt;=84,"Young Old", C459&gt;=85,"Oldest Old")</f>
        <v>Middle Aged</v>
      </c>
      <c r="E459" t="s">
        <v>12</v>
      </c>
      <c r="F459" s="4">
        <v>45354</v>
      </c>
      <c r="G459" s="4">
        <v>45362</v>
      </c>
      <c r="H459" s="7">
        <f t="shared" si="21"/>
        <v>8</v>
      </c>
      <c r="I459" t="s">
        <v>70</v>
      </c>
      <c r="J459" t="s">
        <v>237</v>
      </c>
      <c r="K459" s="2">
        <v>18171.34</v>
      </c>
      <c r="L459" s="9">
        <v>0.7</v>
      </c>
      <c r="M459" s="15">
        <f t="shared" si="22"/>
        <v>12719.938</v>
      </c>
      <c r="N459" s="15">
        <f t="shared" si="23"/>
        <v>5451.402</v>
      </c>
      <c r="O459" t="s">
        <v>25</v>
      </c>
    </row>
    <row r="460" spans="1:15" hidden="1" x14ac:dyDescent="0.35">
      <c r="A460" t="s">
        <v>899</v>
      </c>
      <c r="B460" t="s">
        <v>408</v>
      </c>
      <c r="C460">
        <v>49</v>
      </c>
      <c r="D460" s="8" t="str" cm="1">
        <f t="array" ref="D460">_xlfn.IFS(C460&lt;=2, "Infant", C460&lt;=11, "Child", C460&lt;=17, "Adolescent", C460&lt;=44, "Young Adult", C460&lt;=64, "Middle Aged", C460&lt;=84,"Young Old", C460&gt;=85,"Oldest Old")</f>
        <v>Middle Aged</v>
      </c>
      <c r="E460" t="s">
        <v>18</v>
      </c>
      <c r="F460" s="4">
        <v>45470</v>
      </c>
      <c r="G460" s="4">
        <v>45482</v>
      </c>
      <c r="H460" s="7">
        <f t="shared" si="21"/>
        <v>12</v>
      </c>
      <c r="I460" t="s">
        <v>60</v>
      </c>
      <c r="J460" t="s">
        <v>142</v>
      </c>
      <c r="K460" s="2">
        <v>32666.57</v>
      </c>
      <c r="L460" s="9">
        <v>0.8</v>
      </c>
      <c r="M460" s="15">
        <f t="shared" si="22"/>
        <v>26133.256000000001</v>
      </c>
      <c r="N460" s="15">
        <f t="shared" si="23"/>
        <v>6533.3139999999985</v>
      </c>
      <c r="O460" t="s">
        <v>25</v>
      </c>
    </row>
    <row r="461" spans="1:15" hidden="1" x14ac:dyDescent="0.35">
      <c r="A461" t="s">
        <v>900</v>
      </c>
      <c r="B461" t="s">
        <v>602</v>
      </c>
      <c r="C461">
        <v>57</v>
      </c>
      <c r="D461" s="8" t="str" cm="1">
        <f t="array" ref="D461">_xlfn.IFS(C461&lt;=2, "Infant", C461&lt;=11, "Child", C461&lt;=17, "Adolescent", C461&lt;=44, "Young Adult", C461&lt;=64, "Middle Aged", C461&lt;=84,"Young Old", C461&gt;=85,"Oldest Old")</f>
        <v>Middle Aged</v>
      </c>
      <c r="E461" t="s">
        <v>12</v>
      </c>
      <c r="F461" s="4">
        <v>45350</v>
      </c>
      <c r="G461" s="4">
        <v>45356</v>
      </c>
      <c r="H461" s="7">
        <f t="shared" si="21"/>
        <v>6</v>
      </c>
      <c r="I461" t="s">
        <v>31</v>
      </c>
      <c r="J461" t="s">
        <v>35</v>
      </c>
      <c r="K461" s="2">
        <v>8770.94</v>
      </c>
      <c r="L461" s="9">
        <v>0.8</v>
      </c>
      <c r="M461" s="15">
        <f t="shared" si="22"/>
        <v>7016.7520000000004</v>
      </c>
      <c r="N461" s="15">
        <f t="shared" si="23"/>
        <v>1754.1880000000001</v>
      </c>
      <c r="O461" t="s">
        <v>15</v>
      </c>
    </row>
    <row r="462" spans="1:15" hidden="1" x14ac:dyDescent="0.35">
      <c r="A462" t="s">
        <v>901</v>
      </c>
      <c r="B462" t="s">
        <v>902</v>
      </c>
      <c r="C462">
        <v>37</v>
      </c>
      <c r="D462" s="8" t="str" cm="1">
        <f t="array" ref="D462">_xlfn.IFS(C462&lt;=2, "Infant", C462&lt;=11, "Child", C462&lt;=17, "Adolescent", C462&lt;=44, "Young Adult", C462&lt;=64, "Middle Aged", C462&lt;=84,"Young Old", C462&gt;=85,"Oldest Old")</f>
        <v>Young Adult</v>
      </c>
      <c r="E462" t="s">
        <v>12</v>
      </c>
      <c r="F462" s="4">
        <v>45721</v>
      </c>
      <c r="G462" s="4">
        <v>45724</v>
      </c>
      <c r="H462" s="7">
        <f t="shared" si="21"/>
        <v>3</v>
      </c>
      <c r="I462" t="s">
        <v>70</v>
      </c>
      <c r="J462" t="s">
        <v>194</v>
      </c>
      <c r="K462" s="2">
        <v>5722.85</v>
      </c>
      <c r="L462" s="9">
        <v>0.7</v>
      </c>
      <c r="M462" s="15">
        <f t="shared" si="22"/>
        <v>4005.9949999999999</v>
      </c>
      <c r="N462" s="15">
        <f t="shared" si="23"/>
        <v>1716.8550000000005</v>
      </c>
      <c r="O462" t="s">
        <v>25</v>
      </c>
    </row>
    <row r="463" spans="1:15" hidden="1" x14ac:dyDescent="0.35">
      <c r="A463" t="s">
        <v>903</v>
      </c>
      <c r="B463" t="s">
        <v>904</v>
      </c>
      <c r="C463">
        <v>73</v>
      </c>
      <c r="D463" s="8" t="str" cm="1">
        <f t="array" ref="D463">_xlfn.IFS(C463&lt;=2, "Infant", C463&lt;=11, "Child", C463&lt;=17, "Adolescent", C463&lt;=44, "Young Adult", C463&lt;=64, "Middle Aged", C463&lt;=84,"Young Old", C463&gt;=85,"Oldest Old")</f>
        <v>Young Old</v>
      </c>
      <c r="E463" t="s">
        <v>18</v>
      </c>
      <c r="F463" s="4">
        <v>45599</v>
      </c>
      <c r="G463" s="4">
        <v>45600</v>
      </c>
      <c r="H463" s="7">
        <f t="shared" si="21"/>
        <v>1</v>
      </c>
      <c r="I463" t="s">
        <v>23</v>
      </c>
      <c r="J463" t="s">
        <v>333</v>
      </c>
      <c r="K463" s="2">
        <v>1228.01</v>
      </c>
      <c r="L463" s="9">
        <v>0.9</v>
      </c>
      <c r="M463" s="15">
        <f t="shared" si="22"/>
        <v>1105.2090000000001</v>
      </c>
      <c r="N463" s="15">
        <f t="shared" si="23"/>
        <v>122.80099999999993</v>
      </c>
      <c r="O463" t="s">
        <v>15</v>
      </c>
    </row>
    <row r="464" spans="1:15" hidden="1" x14ac:dyDescent="0.35">
      <c r="A464" t="s">
        <v>905</v>
      </c>
      <c r="B464" t="s">
        <v>906</v>
      </c>
      <c r="C464">
        <v>78</v>
      </c>
      <c r="D464" s="8" t="str" cm="1">
        <f t="array" ref="D464">_xlfn.IFS(C464&lt;=2, "Infant", C464&lt;=11, "Child", C464&lt;=17, "Adolescent", C464&lt;=44, "Young Adult", C464&lt;=64, "Middle Aged", C464&lt;=84,"Young Old", C464&gt;=85,"Oldest Old")</f>
        <v>Young Old</v>
      </c>
      <c r="E464" t="s">
        <v>18</v>
      </c>
      <c r="F464" s="4">
        <v>45606</v>
      </c>
      <c r="G464" s="4">
        <v>45613</v>
      </c>
      <c r="H464" s="7">
        <f t="shared" si="21"/>
        <v>7</v>
      </c>
      <c r="I464" t="s">
        <v>31</v>
      </c>
      <c r="J464" t="s">
        <v>44</v>
      </c>
      <c r="K464" s="2">
        <v>8155.8</v>
      </c>
      <c r="L464" s="9">
        <v>0.8</v>
      </c>
      <c r="M464" s="15">
        <f t="shared" si="22"/>
        <v>6524.64</v>
      </c>
      <c r="N464" s="15">
        <f t="shared" si="23"/>
        <v>1631.1599999999999</v>
      </c>
      <c r="O464" t="s">
        <v>15</v>
      </c>
    </row>
    <row r="465" spans="1:15" hidden="1" x14ac:dyDescent="0.35">
      <c r="A465" t="s">
        <v>907</v>
      </c>
      <c r="B465" t="s">
        <v>908</v>
      </c>
      <c r="C465">
        <v>75</v>
      </c>
      <c r="D465" s="8" t="str" cm="1">
        <f t="array" ref="D465">_xlfn.IFS(C465&lt;=2, "Infant", C465&lt;=11, "Child", C465&lt;=17, "Adolescent", C465&lt;=44, "Young Adult", C465&lt;=64, "Middle Aged", C465&lt;=84,"Young Old", C465&gt;=85,"Oldest Old")</f>
        <v>Young Old</v>
      </c>
      <c r="E465" t="s">
        <v>18</v>
      </c>
      <c r="F465" s="4">
        <v>45431</v>
      </c>
      <c r="G465" s="4">
        <v>45442</v>
      </c>
      <c r="H465" s="7">
        <f t="shared" si="21"/>
        <v>11</v>
      </c>
      <c r="I465" t="s">
        <v>60</v>
      </c>
      <c r="J465" t="s">
        <v>142</v>
      </c>
      <c r="K465" s="2">
        <v>21834.98</v>
      </c>
      <c r="L465" s="9">
        <v>0.8</v>
      </c>
      <c r="M465" s="15">
        <f t="shared" si="22"/>
        <v>17467.984</v>
      </c>
      <c r="N465" s="15">
        <f t="shared" si="23"/>
        <v>4366.9959999999992</v>
      </c>
      <c r="O465" t="s">
        <v>15</v>
      </c>
    </row>
    <row r="466" spans="1:15" hidden="1" x14ac:dyDescent="0.35">
      <c r="A466" t="s">
        <v>909</v>
      </c>
      <c r="B466" t="s">
        <v>802</v>
      </c>
      <c r="C466">
        <v>51</v>
      </c>
      <c r="D466" s="8" t="str" cm="1">
        <f t="array" ref="D466">_xlfn.IFS(C466&lt;=2, "Infant", C466&lt;=11, "Child", C466&lt;=17, "Adolescent", C466&lt;=44, "Young Adult", C466&lt;=64, "Middle Aged", C466&lt;=84,"Young Old", C466&gt;=85,"Oldest Old")</f>
        <v>Middle Aged</v>
      </c>
      <c r="E466" t="s">
        <v>18</v>
      </c>
      <c r="F466" s="4">
        <v>46004</v>
      </c>
      <c r="G466" s="4">
        <v>46013</v>
      </c>
      <c r="H466" s="7">
        <f t="shared" si="21"/>
        <v>9</v>
      </c>
      <c r="I466" t="s">
        <v>60</v>
      </c>
      <c r="J466" t="s">
        <v>97</v>
      </c>
      <c r="K466" s="2">
        <v>24478.42</v>
      </c>
      <c r="L466" s="9">
        <v>0.7</v>
      </c>
      <c r="M466" s="15">
        <f t="shared" si="22"/>
        <v>17134.893999999997</v>
      </c>
      <c r="N466" s="15">
        <f t="shared" si="23"/>
        <v>7343.5260000000017</v>
      </c>
      <c r="O466" t="s">
        <v>20</v>
      </c>
    </row>
    <row r="467" spans="1:15" hidden="1" x14ac:dyDescent="0.35">
      <c r="A467" t="s">
        <v>910</v>
      </c>
      <c r="B467" t="s">
        <v>911</v>
      </c>
      <c r="C467">
        <v>24</v>
      </c>
      <c r="D467" s="8" t="str" cm="1">
        <f t="array" ref="D467">_xlfn.IFS(C467&lt;=2, "Infant", C467&lt;=11, "Child", C467&lt;=17, "Adolescent", C467&lt;=44, "Young Adult", C467&lt;=64, "Middle Aged", C467&lt;=84,"Young Old", C467&gt;=85,"Oldest Old")</f>
        <v>Young Adult</v>
      </c>
      <c r="E467" t="s">
        <v>12</v>
      </c>
      <c r="F467" s="4">
        <v>45530</v>
      </c>
      <c r="G467" s="4">
        <v>45534</v>
      </c>
      <c r="H467" s="7">
        <f t="shared" si="21"/>
        <v>4</v>
      </c>
      <c r="I467" t="s">
        <v>31</v>
      </c>
      <c r="J467" t="s">
        <v>44</v>
      </c>
      <c r="K467" s="2">
        <v>3310.93</v>
      </c>
      <c r="L467" s="9">
        <v>0.5</v>
      </c>
      <c r="M467" s="15">
        <f t="shared" si="22"/>
        <v>1655.4649999999999</v>
      </c>
      <c r="N467" s="15">
        <f t="shared" si="23"/>
        <v>1655.4649999999999</v>
      </c>
      <c r="O467" t="s">
        <v>15</v>
      </c>
    </row>
    <row r="468" spans="1:15" hidden="1" x14ac:dyDescent="0.35">
      <c r="A468" t="s">
        <v>912</v>
      </c>
      <c r="B468" t="s">
        <v>913</v>
      </c>
      <c r="C468">
        <v>11</v>
      </c>
      <c r="D468" s="8" t="str" cm="1">
        <f t="array" ref="D468">_xlfn.IFS(C468&lt;=2, "Infant", C468&lt;=11, "Child", C468&lt;=17, "Adolescent", C468&lt;=44, "Young Adult", C468&lt;=64, "Middle Aged", C468&lt;=84,"Young Old", C468&gt;=85,"Oldest Old")</f>
        <v>Child</v>
      </c>
      <c r="E468" t="s">
        <v>18</v>
      </c>
      <c r="F468" s="4">
        <v>45429</v>
      </c>
      <c r="G468" s="4">
        <v>45434</v>
      </c>
      <c r="H468" s="7">
        <f t="shared" si="21"/>
        <v>5</v>
      </c>
      <c r="I468" t="s">
        <v>49</v>
      </c>
      <c r="J468" t="s">
        <v>130</v>
      </c>
      <c r="K468" s="2">
        <v>3615.86</v>
      </c>
      <c r="L468" s="9">
        <v>0.7</v>
      </c>
      <c r="M468" s="15">
        <f t="shared" si="22"/>
        <v>2531.1019999999999</v>
      </c>
      <c r="N468" s="15">
        <f t="shared" si="23"/>
        <v>1084.7580000000003</v>
      </c>
      <c r="O468" t="s">
        <v>15</v>
      </c>
    </row>
    <row r="469" spans="1:15" hidden="1" x14ac:dyDescent="0.35">
      <c r="A469" t="s">
        <v>914</v>
      </c>
      <c r="B469" t="s">
        <v>915</v>
      </c>
      <c r="C469">
        <v>71</v>
      </c>
      <c r="D469" s="8" t="str" cm="1">
        <f t="array" ref="D469">_xlfn.IFS(C469&lt;=2, "Infant", C469&lt;=11, "Child", C469&lt;=17, "Adolescent", C469&lt;=44, "Young Adult", C469&lt;=64, "Middle Aged", C469&lt;=84,"Young Old", C469&gt;=85,"Oldest Old")</f>
        <v>Young Old</v>
      </c>
      <c r="E469" t="s">
        <v>18</v>
      </c>
      <c r="F469" s="4">
        <v>45694</v>
      </c>
      <c r="G469" s="4">
        <v>45701</v>
      </c>
      <c r="H469" s="7">
        <f t="shared" si="21"/>
        <v>7</v>
      </c>
      <c r="I469" t="s">
        <v>13</v>
      </c>
      <c r="J469" t="s">
        <v>165</v>
      </c>
      <c r="K469" s="2">
        <v>14885.93</v>
      </c>
      <c r="L469" s="9">
        <v>0.9</v>
      </c>
      <c r="M469" s="15">
        <f t="shared" si="22"/>
        <v>13397.337000000001</v>
      </c>
      <c r="N469" s="15">
        <f t="shared" si="23"/>
        <v>1488.5929999999989</v>
      </c>
      <c r="O469" t="s">
        <v>15</v>
      </c>
    </row>
    <row r="470" spans="1:15" hidden="1" x14ac:dyDescent="0.35">
      <c r="A470" t="s">
        <v>916</v>
      </c>
      <c r="B470" t="s">
        <v>841</v>
      </c>
      <c r="C470">
        <v>29</v>
      </c>
      <c r="D470" s="8" t="str" cm="1">
        <f t="array" ref="D470">_xlfn.IFS(C470&lt;=2, "Infant", C470&lt;=11, "Child", C470&lt;=17, "Adolescent", C470&lt;=44, "Young Adult", C470&lt;=64, "Middle Aged", C470&lt;=84,"Young Old", C470&gt;=85,"Oldest Old")</f>
        <v>Young Adult</v>
      </c>
      <c r="E470" t="s">
        <v>18</v>
      </c>
      <c r="F470" s="4">
        <v>45296</v>
      </c>
      <c r="G470" s="4">
        <v>45310</v>
      </c>
      <c r="H470" s="7">
        <f t="shared" si="21"/>
        <v>14</v>
      </c>
      <c r="I470" t="s">
        <v>60</v>
      </c>
      <c r="J470" t="s">
        <v>133</v>
      </c>
      <c r="K470" s="2">
        <v>21594.51</v>
      </c>
      <c r="L470" s="9">
        <v>0.6</v>
      </c>
      <c r="M470" s="15">
        <f t="shared" si="22"/>
        <v>12956.705999999998</v>
      </c>
      <c r="N470" s="15">
        <f t="shared" si="23"/>
        <v>8637.8040000000001</v>
      </c>
      <c r="O470" t="s">
        <v>15</v>
      </c>
    </row>
    <row r="471" spans="1:15" hidden="1" x14ac:dyDescent="0.35">
      <c r="A471" t="s">
        <v>917</v>
      </c>
      <c r="B471" t="s">
        <v>512</v>
      </c>
      <c r="C471">
        <v>35</v>
      </c>
      <c r="D471" s="8" t="str" cm="1">
        <f t="array" ref="D471">_xlfn.IFS(C471&lt;=2, "Infant", C471&lt;=11, "Child", C471&lt;=17, "Adolescent", C471&lt;=44, "Young Adult", C471&lt;=64, "Middle Aged", C471&lt;=84,"Young Old", C471&gt;=85,"Oldest Old")</f>
        <v>Young Adult</v>
      </c>
      <c r="E471" t="s">
        <v>12</v>
      </c>
      <c r="F471" s="4">
        <v>45907</v>
      </c>
      <c r="G471" s="4">
        <v>45918</v>
      </c>
      <c r="H471" s="7">
        <f t="shared" si="21"/>
        <v>11</v>
      </c>
      <c r="I471" t="s">
        <v>60</v>
      </c>
      <c r="J471" t="s">
        <v>61</v>
      </c>
      <c r="K471" s="2">
        <v>16660.509999999998</v>
      </c>
      <c r="L471" s="9">
        <v>0.7</v>
      </c>
      <c r="M471" s="15">
        <f t="shared" si="22"/>
        <v>11662.356999999998</v>
      </c>
      <c r="N471" s="15">
        <f t="shared" si="23"/>
        <v>4998.1530000000002</v>
      </c>
      <c r="O471" t="s">
        <v>20</v>
      </c>
    </row>
    <row r="472" spans="1:15" hidden="1" x14ac:dyDescent="0.35">
      <c r="A472" t="s">
        <v>918</v>
      </c>
      <c r="B472" t="s">
        <v>919</v>
      </c>
      <c r="C472">
        <v>9</v>
      </c>
      <c r="D472" s="8" t="str" cm="1">
        <f t="array" ref="D472">_xlfn.IFS(C472&lt;=2, "Infant", C472&lt;=11, "Child", C472&lt;=17, "Adolescent", C472&lt;=44, "Young Adult", C472&lt;=64, "Middle Aged", C472&lt;=84,"Young Old", C472&gt;=85,"Oldest Old")</f>
        <v>Child</v>
      </c>
      <c r="E472" t="s">
        <v>18</v>
      </c>
      <c r="F472" s="4">
        <v>45352</v>
      </c>
      <c r="G472" s="4">
        <v>45355</v>
      </c>
      <c r="H472" s="7">
        <f t="shared" si="21"/>
        <v>3</v>
      </c>
      <c r="I472" t="s">
        <v>49</v>
      </c>
      <c r="J472" t="s">
        <v>120</v>
      </c>
      <c r="K472" s="2">
        <v>5025.87</v>
      </c>
      <c r="L472" s="9">
        <v>0.8</v>
      </c>
      <c r="M472" s="15">
        <f t="shared" si="22"/>
        <v>4020.6959999999999</v>
      </c>
      <c r="N472" s="15">
        <f t="shared" si="23"/>
        <v>1005.174</v>
      </c>
      <c r="O472" t="s">
        <v>15</v>
      </c>
    </row>
    <row r="473" spans="1:15" hidden="1" x14ac:dyDescent="0.35">
      <c r="A473" t="s">
        <v>920</v>
      </c>
      <c r="B473" t="s">
        <v>191</v>
      </c>
      <c r="C473">
        <v>64</v>
      </c>
      <c r="D473" s="8" t="str" cm="1">
        <f t="array" ref="D473">_xlfn.IFS(C473&lt;=2, "Infant", C473&lt;=11, "Child", C473&lt;=17, "Adolescent", C473&lt;=44, "Young Adult", C473&lt;=64, "Middle Aged", C473&lt;=84,"Young Old", C473&gt;=85,"Oldest Old")</f>
        <v>Middle Aged</v>
      </c>
      <c r="E473" t="s">
        <v>18</v>
      </c>
      <c r="F473" s="4">
        <v>45437</v>
      </c>
      <c r="G473" s="4">
        <v>45439</v>
      </c>
      <c r="H473" s="7">
        <f t="shared" si="21"/>
        <v>2</v>
      </c>
      <c r="I473" t="s">
        <v>60</v>
      </c>
      <c r="J473" t="s">
        <v>77</v>
      </c>
      <c r="K473" s="2">
        <v>3693.42</v>
      </c>
      <c r="L473" s="9">
        <v>0.9</v>
      </c>
      <c r="M473" s="15">
        <f t="shared" si="22"/>
        <v>3324.078</v>
      </c>
      <c r="N473" s="15">
        <f t="shared" si="23"/>
        <v>369.3420000000001</v>
      </c>
      <c r="O473" t="s">
        <v>15</v>
      </c>
    </row>
    <row r="474" spans="1:15" hidden="1" x14ac:dyDescent="0.35">
      <c r="A474" t="s">
        <v>921</v>
      </c>
      <c r="B474" t="s">
        <v>922</v>
      </c>
      <c r="C474">
        <v>11</v>
      </c>
      <c r="D474" s="8" t="str" cm="1">
        <f t="array" ref="D474">_xlfn.IFS(C474&lt;=2, "Infant", C474&lt;=11, "Child", C474&lt;=17, "Adolescent", C474&lt;=44, "Young Adult", C474&lt;=64, "Middle Aged", C474&lt;=84,"Young Old", C474&gt;=85,"Oldest Old")</f>
        <v>Child</v>
      </c>
      <c r="E474" t="s">
        <v>12</v>
      </c>
      <c r="F474" s="4">
        <v>45819</v>
      </c>
      <c r="G474" s="4">
        <v>45823</v>
      </c>
      <c r="H474" s="7">
        <f t="shared" si="21"/>
        <v>4</v>
      </c>
      <c r="I474" t="s">
        <v>49</v>
      </c>
      <c r="J474" t="s">
        <v>130</v>
      </c>
      <c r="K474" s="2">
        <v>6070.15</v>
      </c>
      <c r="L474" s="9">
        <v>0.7</v>
      </c>
      <c r="M474" s="15">
        <f t="shared" si="22"/>
        <v>4249.1049999999996</v>
      </c>
      <c r="N474" s="15">
        <f t="shared" si="23"/>
        <v>1821.0450000000001</v>
      </c>
      <c r="O474" t="s">
        <v>15</v>
      </c>
    </row>
    <row r="475" spans="1:15" hidden="1" x14ac:dyDescent="0.35">
      <c r="A475" t="s">
        <v>923</v>
      </c>
      <c r="B475" t="s">
        <v>924</v>
      </c>
      <c r="C475">
        <v>78</v>
      </c>
      <c r="D475" s="8" t="str" cm="1">
        <f t="array" ref="D475">_xlfn.IFS(C475&lt;=2, "Infant", C475&lt;=11, "Child", C475&lt;=17, "Adolescent", C475&lt;=44, "Young Adult", C475&lt;=64, "Middle Aged", C475&lt;=84,"Young Old", C475&gt;=85,"Oldest Old")</f>
        <v>Young Old</v>
      </c>
      <c r="E475" t="s">
        <v>12</v>
      </c>
      <c r="F475" s="4">
        <v>45783</v>
      </c>
      <c r="G475" s="4">
        <v>45784</v>
      </c>
      <c r="H475" s="7">
        <f t="shared" si="21"/>
        <v>1</v>
      </c>
      <c r="I475" t="s">
        <v>31</v>
      </c>
      <c r="J475" t="s">
        <v>35</v>
      </c>
      <c r="K475" s="2">
        <v>1488.89</v>
      </c>
      <c r="L475" s="9">
        <v>0.8</v>
      </c>
      <c r="M475" s="15">
        <f t="shared" si="22"/>
        <v>1191.1120000000001</v>
      </c>
      <c r="N475" s="15">
        <f t="shared" si="23"/>
        <v>297.77800000000002</v>
      </c>
      <c r="O475" t="s">
        <v>15</v>
      </c>
    </row>
    <row r="476" spans="1:15" hidden="1" x14ac:dyDescent="0.35">
      <c r="A476" t="s">
        <v>925</v>
      </c>
      <c r="B476" t="s">
        <v>55</v>
      </c>
      <c r="C476">
        <v>64</v>
      </c>
      <c r="D476" s="8" t="str" cm="1">
        <f t="array" ref="D476">_xlfn.IFS(C476&lt;=2, "Infant", C476&lt;=11, "Child", C476&lt;=17, "Adolescent", C476&lt;=44, "Young Adult", C476&lt;=64, "Middle Aged", C476&lt;=84,"Young Old", C476&gt;=85,"Oldest Old")</f>
        <v>Middle Aged</v>
      </c>
      <c r="E476" t="s">
        <v>12</v>
      </c>
      <c r="F476" s="4">
        <v>45477</v>
      </c>
      <c r="G476" s="4">
        <v>45480</v>
      </c>
      <c r="H476" s="7">
        <f t="shared" si="21"/>
        <v>3</v>
      </c>
      <c r="I476" t="s">
        <v>31</v>
      </c>
      <c r="J476" t="s">
        <v>35</v>
      </c>
      <c r="K476" s="2">
        <v>3173.52</v>
      </c>
      <c r="L476" s="9">
        <v>0.9</v>
      </c>
      <c r="M476" s="15">
        <f t="shared" si="22"/>
        <v>2856.1680000000001</v>
      </c>
      <c r="N476" s="15">
        <f t="shared" si="23"/>
        <v>317.35199999999986</v>
      </c>
      <c r="O476" t="s">
        <v>25</v>
      </c>
    </row>
    <row r="477" spans="1:15" hidden="1" x14ac:dyDescent="0.35">
      <c r="A477" t="s">
        <v>926</v>
      </c>
      <c r="B477" t="s">
        <v>927</v>
      </c>
      <c r="C477">
        <v>38</v>
      </c>
      <c r="D477" s="8" t="str" cm="1">
        <f t="array" ref="D477">_xlfn.IFS(C477&lt;=2, "Infant", C477&lt;=11, "Child", C477&lt;=17, "Adolescent", C477&lt;=44, "Young Adult", C477&lt;=64, "Middle Aged", C477&lt;=84,"Young Old", C477&gt;=85,"Oldest Old")</f>
        <v>Young Adult</v>
      </c>
      <c r="E477" t="s">
        <v>18</v>
      </c>
      <c r="F477" s="4">
        <v>45770</v>
      </c>
      <c r="G477" s="4">
        <v>45779</v>
      </c>
      <c r="H477" s="7">
        <f t="shared" si="21"/>
        <v>9</v>
      </c>
      <c r="I477" t="s">
        <v>60</v>
      </c>
      <c r="J477" t="s">
        <v>61</v>
      </c>
      <c r="K477" s="2">
        <v>12100.26</v>
      </c>
      <c r="L477" s="9">
        <v>0.9</v>
      </c>
      <c r="M477" s="15">
        <f t="shared" si="22"/>
        <v>10890.234</v>
      </c>
      <c r="N477" s="15">
        <f t="shared" si="23"/>
        <v>1210.0259999999998</v>
      </c>
      <c r="O477" t="s">
        <v>25</v>
      </c>
    </row>
    <row r="478" spans="1:15" hidden="1" x14ac:dyDescent="0.35">
      <c r="A478" t="s">
        <v>928</v>
      </c>
      <c r="B478" t="s">
        <v>330</v>
      </c>
      <c r="C478">
        <v>66</v>
      </c>
      <c r="D478" s="8" t="str" cm="1">
        <f t="array" ref="D478">_xlfn.IFS(C478&lt;=2, "Infant", C478&lt;=11, "Child", C478&lt;=17, "Adolescent", C478&lt;=44, "Young Adult", C478&lt;=64, "Middle Aged", C478&lt;=84,"Young Old", C478&gt;=85,"Oldest Old")</f>
        <v>Young Old</v>
      </c>
      <c r="E478" t="s">
        <v>18</v>
      </c>
      <c r="F478" s="4">
        <v>45343</v>
      </c>
      <c r="G478" s="4">
        <v>45349</v>
      </c>
      <c r="H478" s="7">
        <f t="shared" si="21"/>
        <v>6</v>
      </c>
      <c r="I478" t="s">
        <v>13</v>
      </c>
      <c r="J478" t="s">
        <v>38</v>
      </c>
      <c r="K478" s="2">
        <v>17141</v>
      </c>
      <c r="L478" s="9">
        <v>0.9</v>
      </c>
      <c r="M478" s="15">
        <f t="shared" si="22"/>
        <v>15426.9</v>
      </c>
      <c r="N478" s="15">
        <f t="shared" si="23"/>
        <v>1714.1000000000004</v>
      </c>
      <c r="O478" t="s">
        <v>15</v>
      </c>
    </row>
    <row r="479" spans="1:15" hidden="1" x14ac:dyDescent="0.35">
      <c r="A479" t="s">
        <v>929</v>
      </c>
      <c r="B479" t="s">
        <v>218</v>
      </c>
      <c r="C479">
        <v>36</v>
      </c>
      <c r="D479" s="8" t="str" cm="1">
        <f t="array" ref="D479">_xlfn.IFS(C479&lt;=2, "Infant", C479&lt;=11, "Child", C479&lt;=17, "Adolescent", C479&lt;=44, "Young Adult", C479&lt;=64, "Middle Aged", C479&lt;=84,"Young Old", C479&gt;=85,"Oldest Old")</f>
        <v>Young Adult</v>
      </c>
      <c r="E479" t="s">
        <v>18</v>
      </c>
      <c r="F479" s="4">
        <v>45683</v>
      </c>
      <c r="G479" s="4">
        <v>45684</v>
      </c>
      <c r="H479" s="7">
        <f t="shared" si="21"/>
        <v>1</v>
      </c>
      <c r="I479" t="s">
        <v>23</v>
      </c>
      <c r="J479" t="s">
        <v>204</v>
      </c>
      <c r="K479" s="2">
        <v>1576.85</v>
      </c>
      <c r="L479" s="9">
        <v>0.8</v>
      </c>
      <c r="M479" s="15">
        <f t="shared" si="22"/>
        <v>1261.48</v>
      </c>
      <c r="N479" s="15">
        <f t="shared" si="23"/>
        <v>315.36999999999989</v>
      </c>
      <c r="O479" t="s">
        <v>20</v>
      </c>
    </row>
    <row r="480" spans="1:15" hidden="1" x14ac:dyDescent="0.35">
      <c r="A480" t="s">
        <v>930</v>
      </c>
      <c r="B480" t="s">
        <v>628</v>
      </c>
      <c r="C480">
        <v>54</v>
      </c>
      <c r="D480" s="8" t="str" cm="1">
        <f t="array" ref="D480">_xlfn.IFS(C480&lt;=2, "Infant", C480&lt;=11, "Child", C480&lt;=17, "Adolescent", C480&lt;=44, "Young Adult", C480&lt;=64, "Middle Aged", C480&lt;=84,"Young Old", C480&gt;=85,"Oldest Old")</f>
        <v>Middle Aged</v>
      </c>
      <c r="E480" t="s">
        <v>12</v>
      </c>
      <c r="F480" s="4">
        <v>45504</v>
      </c>
      <c r="G480" s="4">
        <v>45505</v>
      </c>
      <c r="H480" s="7">
        <f t="shared" si="21"/>
        <v>1</v>
      </c>
      <c r="I480" t="s">
        <v>31</v>
      </c>
      <c r="J480" t="s">
        <v>53</v>
      </c>
      <c r="K480" s="2">
        <v>534.38</v>
      </c>
      <c r="L480" s="9">
        <v>0.8</v>
      </c>
      <c r="M480" s="15">
        <f t="shared" si="22"/>
        <v>427.50400000000002</v>
      </c>
      <c r="N480" s="15">
        <f t="shared" si="23"/>
        <v>106.87599999999998</v>
      </c>
      <c r="O480" t="s">
        <v>15</v>
      </c>
    </row>
    <row r="481" spans="1:15" hidden="1" x14ac:dyDescent="0.35">
      <c r="A481" t="s">
        <v>931</v>
      </c>
      <c r="B481" t="s">
        <v>932</v>
      </c>
      <c r="C481">
        <v>1</v>
      </c>
      <c r="D481" s="8" t="str" cm="1">
        <f t="array" ref="D481">_xlfn.IFS(C481&lt;=2, "Infant", C481&lt;=11, "Child", C481&lt;=17, "Adolescent", C481&lt;=44, "Young Adult", C481&lt;=64, "Middle Aged", C481&lt;=84,"Young Old", C481&gt;=85,"Oldest Old")</f>
        <v>Infant</v>
      </c>
      <c r="E481" t="s">
        <v>18</v>
      </c>
      <c r="F481" s="4">
        <v>45300</v>
      </c>
      <c r="G481" s="4">
        <v>45301</v>
      </c>
      <c r="H481" s="7">
        <f t="shared" si="21"/>
        <v>1</v>
      </c>
      <c r="I481" t="s">
        <v>49</v>
      </c>
      <c r="J481" t="s">
        <v>123</v>
      </c>
      <c r="K481" s="2">
        <v>728.22</v>
      </c>
      <c r="L481" s="9">
        <v>0.6</v>
      </c>
      <c r="M481" s="15">
        <f t="shared" si="22"/>
        <v>436.93200000000002</v>
      </c>
      <c r="N481" s="15">
        <f t="shared" si="23"/>
        <v>291.28800000000001</v>
      </c>
      <c r="O481" t="s">
        <v>15</v>
      </c>
    </row>
    <row r="482" spans="1:15" hidden="1" x14ac:dyDescent="0.35">
      <c r="A482" t="s">
        <v>933</v>
      </c>
      <c r="B482" t="s">
        <v>11</v>
      </c>
      <c r="C482">
        <v>29</v>
      </c>
      <c r="D482" s="8" t="str" cm="1">
        <f t="array" ref="D482">_xlfn.IFS(C482&lt;=2, "Infant", C482&lt;=11, "Child", C482&lt;=17, "Adolescent", C482&lt;=44, "Young Adult", C482&lt;=64, "Middle Aged", C482&lt;=84,"Young Old", C482&gt;=85,"Oldest Old")</f>
        <v>Young Adult</v>
      </c>
      <c r="E482" t="s">
        <v>12</v>
      </c>
      <c r="F482" s="4">
        <v>45847</v>
      </c>
      <c r="G482" s="4">
        <v>45853</v>
      </c>
      <c r="H482" s="7">
        <f t="shared" si="21"/>
        <v>6</v>
      </c>
      <c r="I482" t="s">
        <v>60</v>
      </c>
      <c r="J482" t="s">
        <v>142</v>
      </c>
      <c r="K482" s="2">
        <v>12100.99</v>
      </c>
      <c r="L482" s="9">
        <v>1</v>
      </c>
      <c r="M482" s="15">
        <f t="shared" si="22"/>
        <v>12100.99</v>
      </c>
      <c r="N482" s="15">
        <f t="shared" si="23"/>
        <v>0</v>
      </c>
      <c r="O482" t="s">
        <v>20</v>
      </c>
    </row>
    <row r="483" spans="1:15" hidden="1" x14ac:dyDescent="0.35">
      <c r="A483" t="s">
        <v>934</v>
      </c>
      <c r="B483" t="s">
        <v>935</v>
      </c>
      <c r="C483">
        <v>77</v>
      </c>
      <c r="D483" s="8" t="str" cm="1">
        <f t="array" ref="D483">_xlfn.IFS(C483&lt;=2, "Infant", C483&lt;=11, "Child", C483&lt;=17, "Adolescent", C483&lt;=44, "Young Adult", C483&lt;=64, "Middle Aged", C483&lt;=84,"Young Old", C483&gt;=85,"Oldest Old")</f>
        <v>Young Old</v>
      </c>
      <c r="E483" t="s">
        <v>18</v>
      </c>
      <c r="F483" s="4">
        <v>45791</v>
      </c>
      <c r="G483" s="4">
        <v>45797</v>
      </c>
      <c r="H483" s="7">
        <f t="shared" si="21"/>
        <v>6</v>
      </c>
      <c r="I483" t="s">
        <v>13</v>
      </c>
      <c r="J483" t="s">
        <v>14</v>
      </c>
      <c r="K483" s="2">
        <v>8417.51</v>
      </c>
      <c r="L483" s="9">
        <v>0.7</v>
      </c>
      <c r="M483" s="15">
        <f t="shared" si="22"/>
        <v>5892.2569999999996</v>
      </c>
      <c r="N483" s="15">
        <f t="shared" si="23"/>
        <v>2525.2530000000006</v>
      </c>
      <c r="O483" t="s">
        <v>25</v>
      </c>
    </row>
    <row r="484" spans="1:15" hidden="1" x14ac:dyDescent="0.35">
      <c r="A484" t="s">
        <v>936</v>
      </c>
      <c r="B484" t="s">
        <v>870</v>
      </c>
      <c r="C484">
        <v>82</v>
      </c>
      <c r="D484" s="8" t="str" cm="1">
        <f t="array" ref="D484">_xlfn.IFS(C484&lt;=2, "Infant", C484&lt;=11, "Child", C484&lt;=17, "Adolescent", C484&lt;=44, "Young Adult", C484&lt;=64, "Middle Aged", C484&lt;=84,"Young Old", C484&gt;=85,"Oldest Old")</f>
        <v>Young Old</v>
      </c>
      <c r="E484" t="s">
        <v>18</v>
      </c>
      <c r="F484" s="4">
        <v>45519</v>
      </c>
      <c r="G484" s="4">
        <v>45522</v>
      </c>
      <c r="H484" s="7">
        <f t="shared" si="21"/>
        <v>3</v>
      </c>
      <c r="I484" t="s">
        <v>13</v>
      </c>
      <c r="J484" t="s">
        <v>165</v>
      </c>
      <c r="K484" s="2">
        <v>4494.01</v>
      </c>
      <c r="L484" s="9">
        <v>0.5</v>
      </c>
      <c r="M484" s="15">
        <f t="shared" si="22"/>
        <v>2247.0050000000001</v>
      </c>
      <c r="N484" s="15">
        <f t="shared" si="23"/>
        <v>2247.0050000000001</v>
      </c>
      <c r="O484" t="s">
        <v>25</v>
      </c>
    </row>
    <row r="485" spans="1:15" hidden="1" x14ac:dyDescent="0.35">
      <c r="A485" t="s">
        <v>937</v>
      </c>
      <c r="B485" t="s">
        <v>938</v>
      </c>
      <c r="C485">
        <v>2</v>
      </c>
      <c r="D485" s="8" t="str" cm="1">
        <f t="array" ref="D485">_xlfn.IFS(C485&lt;=2, "Infant", C485&lt;=11, "Child", C485&lt;=17, "Adolescent", C485&lt;=44, "Young Adult", C485&lt;=64, "Middle Aged", C485&lt;=84,"Young Old", C485&gt;=85,"Oldest Old")</f>
        <v>Infant</v>
      </c>
      <c r="E485" t="s">
        <v>12</v>
      </c>
      <c r="F485" s="4">
        <v>45360</v>
      </c>
      <c r="G485" s="4">
        <v>45364</v>
      </c>
      <c r="H485" s="7">
        <f t="shared" si="21"/>
        <v>4</v>
      </c>
      <c r="I485" t="s">
        <v>49</v>
      </c>
      <c r="J485" t="s">
        <v>123</v>
      </c>
      <c r="K485" s="2">
        <v>3929.21</v>
      </c>
      <c r="L485" s="9">
        <v>0.9</v>
      </c>
      <c r="M485" s="15">
        <f t="shared" si="22"/>
        <v>3536.2890000000002</v>
      </c>
      <c r="N485" s="15">
        <f t="shared" si="23"/>
        <v>392.92099999999982</v>
      </c>
      <c r="O485" t="s">
        <v>20</v>
      </c>
    </row>
    <row r="486" spans="1:15" hidden="1" x14ac:dyDescent="0.35">
      <c r="A486" t="s">
        <v>939</v>
      </c>
      <c r="B486" t="s">
        <v>854</v>
      </c>
      <c r="C486">
        <v>48</v>
      </c>
      <c r="D486" s="8" t="str" cm="1">
        <f t="array" ref="D486">_xlfn.IFS(C486&lt;=2, "Infant", C486&lt;=11, "Child", C486&lt;=17, "Adolescent", C486&lt;=44, "Young Adult", C486&lt;=64, "Middle Aged", C486&lt;=84,"Young Old", C486&gt;=85,"Oldest Old")</f>
        <v>Middle Aged</v>
      </c>
      <c r="E486" t="s">
        <v>18</v>
      </c>
      <c r="F486" s="4">
        <v>45983</v>
      </c>
      <c r="G486" s="4">
        <v>45997</v>
      </c>
      <c r="H486" s="7">
        <f t="shared" si="21"/>
        <v>14</v>
      </c>
      <c r="I486" t="s">
        <v>60</v>
      </c>
      <c r="J486" t="s">
        <v>77</v>
      </c>
      <c r="K486" s="2">
        <v>24600.43</v>
      </c>
      <c r="L486" s="9">
        <v>0.7</v>
      </c>
      <c r="M486" s="15">
        <f t="shared" si="22"/>
        <v>17220.300999999999</v>
      </c>
      <c r="N486" s="15">
        <f t="shared" si="23"/>
        <v>7380.1290000000008</v>
      </c>
      <c r="O486" t="s">
        <v>20</v>
      </c>
    </row>
    <row r="487" spans="1:15" hidden="1" x14ac:dyDescent="0.35">
      <c r="A487" t="s">
        <v>940</v>
      </c>
      <c r="B487" t="s">
        <v>941</v>
      </c>
      <c r="C487">
        <v>60</v>
      </c>
      <c r="D487" s="8" t="str" cm="1">
        <f t="array" ref="D487">_xlfn.IFS(C487&lt;=2, "Infant", C487&lt;=11, "Child", C487&lt;=17, "Adolescent", C487&lt;=44, "Young Adult", C487&lt;=64, "Middle Aged", C487&lt;=84,"Young Old", C487&gt;=85,"Oldest Old")</f>
        <v>Middle Aged</v>
      </c>
      <c r="E487" t="s">
        <v>12</v>
      </c>
      <c r="F487" s="4">
        <v>45438</v>
      </c>
      <c r="G487" s="4">
        <v>45441</v>
      </c>
      <c r="H487" s="7">
        <f t="shared" si="21"/>
        <v>3</v>
      </c>
      <c r="I487" t="s">
        <v>23</v>
      </c>
      <c r="J487" t="s">
        <v>82</v>
      </c>
      <c r="K487" s="2">
        <v>4928.0600000000004</v>
      </c>
      <c r="L487" s="9">
        <v>0.6</v>
      </c>
      <c r="M487" s="15">
        <f t="shared" si="22"/>
        <v>2956.8360000000002</v>
      </c>
      <c r="N487" s="15">
        <f t="shared" si="23"/>
        <v>1971.2240000000002</v>
      </c>
      <c r="O487" t="s">
        <v>25</v>
      </c>
    </row>
    <row r="488" spans="1:15" hidden="1" x14ac:dyDescent="0.35">
      <c r="A488" t="s">
        <v>942</v>
      </c>
      <c r="B488" t="s">
        <v>99</v>
      </c>
      <c r="C488">
        <v>69</v>
      </c>
      <c r="D488" s="8" t="str" cm="1">
        <f t="array" ref="D488">_xlfn.IFS(C488&lt;=2, "Infant", C488&lt;=11, "Child", C488&lt;=17, "Adolescent", C488&lt;=44, "Young Adult", C488&lt;=64, "Middle Aged", C488&lt;=84,"Young Old", C488&gt;=85,"Oldest Old")</f>
        <v>Young Old</v>
      </c>
      <c r="E488" t="s">
        <v>18</v>
      </c>
      <c r="F488" s="4">
        <v>45686</v>
      </c>
      <c r="G488" s="4">
        <v>45687</v>
      </c>
      <c r="H488" s="7">
        <f t="shared" si="21"/>
        <v>1</v>
      </c>
      <c r="I488" t="s">
        <v>23</v>
      </c>
      <c r="J488" t="s">
        <v>28</v>
      </c>
      <c r="K488" s="2">
        <v>1292.28</v>
      </c>
      <c r="L488" s="9">
        <v>1</v>
      </c>
      <c r="M488" s="15">
        <f t="shared" si="22"/>
        <v>1292.28</v>
      </c>
      <c r="N488" s="15">
        <f t="shared" si="23"/>
        <v>0</v>
      </c>
      <c r="O488" t="s">
        <v>15</v>
      </c>
    </row>
    <row r="489" spans="1:15" hidden="1" x14ac:dyDescent="0.35">
      <c r="A489" t="s">
        <v>943</v>
      </c>
      <c r="B489" t="s">
        <v>944</v>
      </c>
      <c r="C489">
        <v>14</v>
      </c>
      <c r="D489" s="8" t="str" cm="1">
        <f t="array" ref="D489">_xlfn.IFS(C489&lt;=2, "Infant", C489&lt;=11, "Child", C489&lt;=17, "Adolescent", C489&lt;=44, "Young Adult", C489&lt;=64, "Middle Aged", C489&lt;=84,"Young Old", C489&gt;=85,"Oldest Old")</f>
        <v>Adolescent</v>
      </c>
      <c r="E489" t="s">
        <v>18</v>
      </c>
      <c r="F489" s="4">
        <v>45598</v>
      </c>
      <c r="G489" s="4">
        <v>45601</v>
      </c>
      <c r="H489" s="7">
        <f t="shared" si="21"/>
        <v>3</v>
      </c>
      <c r="I489" t="s">
        <v>49</v>
      </c>
      <c r="J489" t="s">
        <v>130</v>
      </c>
      <c r="K489" s="2">
        <v>3900.85</v>
      </c>
      <c r="L489" s="9">
        <v>0.9</v>
      </c>
      <c r="M489" s="15">
        <f t="shared" si="22"/>
        <v>3510.7649999999999</v>
      </c>
      <c r="N489" s="15">
        <f t="shared" si="23"/>
        <v>390.08500000000004</v>
      </c>
      <c r="O489" t="s">
        <v>15</v>
      </c>
    </row>
    <row r="490" spans="1:15" hidden="1" x14ac:dyDescent="0.35">
      <c r="A490" t="s">
        <v>945</v>
      </c>
      <c r="B490" t="s">
        <v>946</v>
      </c>
      <c r="C490">
        <v>39</v>
      </c>
      <c r="D490" s="8" t="str" cm="1">
        <f t="array" ref="D490">_xlfn.IFS(C490&lt;=2, "Infant", C490&lt;=11, "Child", C490&lt;=17, "Adolescent", C490&lt;=44, "Young Adult", C490&lt;=64, "Middle Aged", C490&lt;=84,"Young Old", C490&gt;=85,"Oldest Old")</f>
        <v>Young Adult</v>
      </c>
      <c r="E490" t="s">
        <v>18</v>
      </c>
      <c r="F490" s="4">
        <v>45771</v>
      </c>
      <c r="G490" s="4">
        <v>45776</v>
      </c>
      <c r="H490" s="7">
        <f t="shared" si="21"/>
        <v>5</v>
      </c>
      <c r="I490" t="s">
        <v>31</v>
      </c>
      <c r="J490" t="s">
        <v>234</v>
      </c>
      <c r="K490" s="2">
        <v>2872.81</v>
      </c>
      <c r="L490" s="9">
        <v>1</v>
      </c>
      <c r="M490" s="15">
        <f t="shared" si="22"/>
        <v>2872.81</v>
      </c>
      <c r="N490" s="15">
        <f t="shared" si="23"/>
        <v>0</v>
      </c>
      <c r="O490" t="s">
        <v>20</v>
      </c>
    </row>
    <row r="491" spans="1:15" hidden="1" x14ac:dyDescent="0.35">
      <c r="A491" t="s">
        <v>947</v>
      </c>
      <c r="B491" t="s">
        <v>948</v>
      </c>
      <c r="C491">
        <v>43</v>
      </c>
      <c r="D491" s="8" t="str" cm="1">
        <f t="array" ref="D491">_xlfn.IFS(C491&lt;=2, "Infant", C491&lt;=11, "Child", C491&lt;=17, "Adolescent", C491&lt;=44, "Young Adult", C491&lt;=64, "Middle Aged", C491&lt;=84,"Young Old", C491&gt;=85,"Oldest Old")</f>
        <v>Young Adult</v>
      </c>
      <c r="E491" t="s">
        <v>18</v>
      </c>
      <c r="F491" s="4">
        <v>45975</v>
      </c>
      <c r="G491" s="4">
        <v>45984</v>
      </c>
      <c r="H491" s="7">
        <f t="shared" si="21"/>
        <v>9</v>
      </c>
      <c r="I491" t="s">
        <v>60</v>
      </c>
      <c r="J491" t="s">
        <v>97</v>
      </c>
      <c r="K491" s="2">
        <v>16993.79</v>
      </c>
      <c r="L491" s="9">
        <v>0.7</v>
      </c>
      <c r="M491" s="15">
        <f t="shared" si="22"/>
        <v>11895.653</v>
      </c>
      <c r="N491" s="15">
        <f t="shared" si="23"/>
        <v>5098.1370000000006</v>
      </c>
      <c r="O491" t="s">
        <v>25</v>
      </c>
    </row>
    <row r="492" spans="1:15" hidden="1" x14ac:dyDescent="0.35">
      <c r="A492" t="s">
        <v>949</v>
      </c>
      <c r="B492" t="s">
        <v>950</v>
      </c>
      <c r="C492">
        <v>11</v>
      </c>
      <c r="D492" s="8" t="str" cm="1">
        <f t="array" ref="D492">_xlfn.IFS(C492&lt;=2, "Infant", C492&lt;=11, "Child", C492&lt;=17, "Adolescent", C492&lt;=44, "Young Adult", C492&lt;=64, "Middle Aged", C492&lt;=84,"Young Old", C492&gt;=85,"Oldest Old")</f>
        <v>Child</v>
      </c>
      <c r="E492" t="s">
        <v>12</v>
      </c>
      <c r="F492" s="4">
        <v>45979</v>
      </c>
      <c r="G492" s="4">
        <v>45983</v>
      </c>
      <c r="H492" s="7">
        <f t="shared" si="21"/>
        <v>4</v>
      </c>
      <c r="I492" t="s">
        <v>49</v>
      </c>
      <c r="J492" t="s">
        <v>378</v>
      </c>
      <c r="K492" s="2">
        <v>4693.3500000000004</v>
      </c>
      <c r="L492" s="9">
        <v>0.8</v>
      </c>
      <c r="M492" s="15">
        <f t="shared" si="22"/>
        <v>3754.6800000000003</v>
      </c>
      <c r="N492" s="15">
        <f t="shared" si="23"/>
        <v>938.67000000000007</v>
      </c>
      <c r="O492" t="s">
        <v>15</v>
      </c>
    </row>
    <row r="493" spans="1:15" hidden="1" x14ac:dyDescent="0.35">
      <c r="A493" t="s">
        <v>951</v>
      </c>
      <c r="B493" t="s">
        <v>952</v>
      </c>
      <c r="C493">
        <v>71</v>
      </c>
      <c r="D493" s="8" t="str" cm="1">
        <f t="array" ref="D493">_xlfn.IFS(C493&lt;=2, "Infant", C493&lt;=11, "Child", C493&lt;=17, "Adolescent", C493&lt;=44, "Young Adult", C493&lt;=64, "Middle Aged", C493&lt;=84,"Young Old", C493&gt;=85,"Oldest Old")</f>
        <v>Young Old</v>
      </c>
      <c r="E493" t="s">
        <v>18</v>
      </c>
      <c r="F493" s="4">
        <v>45990</v>
      </c>
      <c r="G493" s="4">
        <v>45991</v>
      </c>
      <c r="H493" s="7">
        <f t="shared" si="21"/>
        <v>1</v>
      </c>
      <c r="I493" t="s">
        <v>23</v>
      </c>
      <c r="J493" t="s">
        <v>221</v>
      </c>
      <c r="K493" s="2">
        <v>2381.67</v>
      </c>
      <c r="L493" s="9">
        <v>0.6</v>
      </c>
      <c r="M493" s="15">
        <f t="shared" si="22"/>
        <v>1429.002</v>
      </c>
      <c r="N493" s="15">
        <f t="shared" si="23"/>
        <v>952.66800000000012</v>
      </c>
      <c r="O493" t="s">
        <v>25</v>
      </c>
    </row>
    <row r="494" spans="1:15" hidden="1" x14ac:dyDescent="0.35">
      <c r="A494" t="s">
        <v>953</v>
      </c>
      <c r="B494" t="s">
        <v>954</v>
      </c>
      <c r="C494">
        <v>14</v>
      </c>
      <c r="D494" s="8" t="str" cm="1">
        <f t="array" ref="D494">_xlfn.IFS(C494&lt;=2, "Infant", C494&lt;=11, "Child", C494&lt;=17, "Adolescent", C494&lt;=44, "Young Adult", C494&lt;=64, "Middle Aged", C494&lt;=84,"Young Old", C494&gt;=85,"Oldest Old")</f>
        <v>Adolescent</v>
      </c>
      <c r="E494" t="s">
        <v>12</v>
      </c>
      <c r="F494" s="4">
        <v>45387</v>
      </c>
      <c r="G494" s="4">
        <v>45389</v>
      </c>
      <c r="H494" s="7">
        <f t="shared" si="21"/>
        <v>2</v>
      </c>
      <c r="I494" t="s">
        <v>49</v>
      </c>
      <c r="J494" t="s">
        <v>117</v>
      </c>
      <c r="K494" s="2">
        <v>3014.2</v>
      </c>
      <c r="L494" s="9">
        <v>0.6</v>
      </c>
      <c r="M494" s="15">
        <f t="shared" si="22"/>
        <v>1808.5199999999998</v>
      </c>
      <c r="N494" s="15">
        <f t="shared" si="23"/>
        <v>1205.68</v>
      </c>
      <c r="O494" t="s">
        <v>20</v>
      </c>
    </row>
    <row r="495" spans="1:15" hidden="1" x14ac:dyDescent="0.35">
      <c r="A495" t="s">
        <v>955</v>
      </c>
      <c r="B495" t="s">
        <v>956</v>
      </c>
      <c r="C495">
        <v>45</v>
      </c>
      <c r="D495" s="8" t="str" cm="1">
        <f t="array" ref="D495">_xlfn.IFS(C495&lt;=2, "Infant", C495&lt;=11, "Child", C495&lt;=17, "Adolescent", C495&lt;=44, "Young Adult", C495&lt;=64, "Middle Aged", C495&lt;=84,"Young Old", C495&gt;=85,"Oldest Old")</f>
        <v>Middle Aged</v>
      </c>
      <c r="E495" t="s">
        <v>18</v>
      </c>
      <c r="F495" s="4">
        <v>45431</v>
      </c>
      <c r="G495" s="4">
        <v>45439</v>
      </c>
      <c r="H495" s="7">
        <f t="shared" si="21"/>
        <v>8</v>
      </c>
      <c r="I495" t="s">
        <v>70</v>
      </c>
      <c r="J495" t="s">
        <v>295</v>
      </c>
      <c r="K495" s="2">
        <v>13434.66</v>
      </c>
      <c r="L495" s="9">
        <v>0.6</v>
      </c>
      <c r="M495" s="15">
        <f t="shared" si="22"/>
        <v>8060.7959999999994</v>
      </c>
      <c r="N495" s="15">
        <f t="shared" si="23"/>
        <v>5373.8640000000005</v>
      </c>
      <c r="O495" t="s">
        <v>20</v>
      </c>
    </row>
    <row r="496" spans="1:15" hidden="1" x14ac:dyDescent="0.35">
      <c r="A496" t="s">
        <v>957</v>
      </c>
      <c r="B496" t="s">
        <v>958</v>
      </c>
      <c r="C496">
        <v>29</v>
      </c>
      <c r="D496" s="8" t="str" cm="1">
        <f t="array" ref="D496">_xlfn.IFS(C496&lt;=2, "Infant", C496&lt;=11, "Child", C496&lt;=17, "Adolescent", C496&lt;=44, "Young Adult", C496&lt;=64, "Middle Aged", C496&lt;=84,"Young Old", C496&gt;=85,"Oldest Old")</f>
        <v>Young Adult</v>
      </c>
      <c r="E496" t="s">
        <v>12</v>
      </c>
      <c r="F496" s="4">
        <v>45792</v>
      </c>
      <c r="G496" s="4">
        <v>45803</v>
      </c>
      <c r="H496" s="7">
        <f t="shared" si="21"/>
        <v>11</v>
      </c>
      <c r="I496" t="s">
        <v>60</v>
      </c>
      <c r="J496" t="s">
        <v>142</v>
      </c>
      <c r="K496" s="2">
        <v>13647.71</v>
      </c>
      <c r="L496" s="9">
        <v>0.5</v>
      </c>
      <c r="M496" s="15">
        <f t="shared" si="22"/>
        <v>6823.8549999999996</v>
      </c>
      <c r="N496" s="15">
        <f t="shared" si="23"/>
        <v>6823.8549999999996</v>
      </c>
      <c r="O496" t="s">
        <v>15</v>
      </c>
    </row>
    <row r="497" spans="1:15" hidden="1" x14ac:dyDescent="0.35">
      <c r="A497" t="s">
        <v>959</v>
      </c>
      <c r="B497" t="s">
        <v>960</v>
      </c>
      <c r="C497">
        <v>44</v>
      </c>
      <c r="D497" s="8" t="str" cm="1">
        <f t="array" ref="D497">_xlfn.IFS(C497&lt;=2, "Infant", C497&lt;=11, "Child", C497&lt;=17, "Adolescent", C497&lt;=44, "Young Adult", C497&lt;=64, "Middle Aged", C497&lt;=84,"Young Old", C497&gt;=85,"Oldest Old")</f>
        <v>Young Adult</v>
      </c>
      <c r="E497" t="s">
        <v>12</v>
      </c>
      <c r="F497" s="4">
        <v>45932</v>
      </c>
      <c r="G497" s="4">
        <v>45934</v>
      </c>
      <c r="H497" s="7">
        <f t="shared" si="21"/>
        <v>2</v>
      </c>
      <c r="I497" t="s">
        <v>60</v>
      </c>
      <c r="J497" t="s">
        <v>133</v>
      </c>
      <c r="K497" s="2">
        <v>4992.76</v>
      </c>
      <c r="L497" s="9">
        <v>0.6</v>
      </c>
      <c r="M497" s="15">
        <f t="shared" si="22"/>
        <v>2995.6559999999999</v>
      </c>
      <c r="N497" s="15">
        <f t="shared" si="23"/>
        <v>1997.1040000000003</v>
      </c>
      <c r="O497" t="s">
        <v>15</v>
      </c>
    </row>
    <row r="498" spans="1:15" hidden="1" x14ac:dyDescent="0.35">
      <c r="A498" t="s">
        <v>961</v>
      </c>
      <c r="B498" t="s">
        <v>962</v>
      </c>
      <c r="C498">
        <v>42</v>
      </c>
      <c r="D498" s="8" t="str" cm="1">
        <f t="array" ref="D498">_xlfn.IFS(C498&lt;=2, "Infant", C498&lt;=11, "Child", C498&lt;=17, "Adolescent", C498&lt;=44, "Young Adult", C498&lt;=64, "Middle Aged", C498&lt;=84,"Young Old", C498&gt;=85,"Oldest Old")</f>
        <v>Young Adult</v>
      </c>
      <c r="E498" t="s">
        <v>12</v>
      </c>
      <c r="F498" s="4">
        <v>45657</v>
      </c>
      <c r="G498" s="4">
        <v>45659</v>
      </c>
      <c r="H498" s="7">
        <f t="shared" si="21"/>
        <v>2</v>
      </c>
      <c r="I498" t="s">
        <v>23</v>
      </c>
      <c r="J498" t="s">
        <v>41</v>
      </c>
      <c r="K498" s="2">
        <v>4370.5</v>
      </c>
      <c r="L498" s="9">
        <v>0.7</v>
      </c>
      <c r="M498" s="15">
        <f t="shared" si="22"/>
        <v>3059.35</v>
      </c>
      <c r="N498" s="15">
        <f t="shared" si="23"/>
        <v>1311.15</v>
      </c>
      <c r="O498" t="s">
        <v>20</v>
      </c>
    </row>
    <row r="499" spans="1:15" hidden="1" x14ac:dyDescent="0.35">
      <c r="A499" t="s">
        <v>963</v>
      </c>
      <c r="B499" t="s">
        <v>964</v>
      </c>
      <c r="C499">
        <v>48</v>
      </c>
      <c r="D499" s="8" t="str" cm="1">
        <f t="array" ref="D499">_xlfn.IFS(C499&lt;=2, "Infant", C499&lt;=11, "Child", C499&lt;=17, "Adolescent", C499&lt;=44, "Young Adult", C499&lt;=64, "Middle Aged", C499&lt;=84,"Young Old", C499&gt;=85,"Oldest Old")</f>
        <v>Middle Aged</v>
      </c>
      <c r="E499" t="s">
        <v>18</v>
      </c>
      <c r="F499" s="4">
        <v>45661</v>
      </c>
      <c r="G499" s="4">
        <v>45665</v>
      </c>
      <c r="H499" s="7">
        <f t="shared" si="21"/>
        <v>4</v>
      </c>
      <c r="I499" t="s">
        <v>31</v>
      </c>
      <c r="J499" t="s">
        <v>87</v>
      </c>
      <c r="K499" s="2">
        <v>3007.7</v>
      </c>
      <c r="L499" s="9">
        <v>0.8</v>
      </c>
      <c r="M499" s="15">
        <f t="shared" si="22"/>
        <v>2406.16</v>
      </c>
      <c r="N499" s="15">
        <f t="shared" si="23"/>
        <v>601.54</v>
      </c>
      <c r="O499" t="s">
        <v>20</v>
      </c>
    </row>
    <row r="500" spans="1:15" hidden="1" x14ac:dyDescent="0.35">
      <c r="A500" t="s">
        <v>965</v>
      </c>
      <c r="B500" t="s">
        <v>966</v>
      </c>
      <c r="C500">
        <v>50</v>
      </c>
      <c r="D500" s="8" t="str" cm="1">
        <f t="array" ref="D500">_xlfn.IFS(C500&lt;=2, "Infant", C500&lt;=11, "Child", C500&lt;=17, "Adolescent", C500&lt;=44, "Young Adult", C500&lt;=64, "Middle Aged", C500&lt;=84,"Young Old", C500&gt;=85,"Oldest Old")</f>
        <v>Middle Aged</v>
      </c>
      <c r="E500" t="s">
        <v>18</v>
      </c>
      <c r="F500" s="4">
        <v>45666</v>
      </c>
      <c r="G500" s="4">
        <v>45673</v>
      </c>
      <c r="H500" s="7">
        <f t="shared" si="21"/>
        <v>7</v>
      </c>
      <c r="I500" t="s">
        <v>70</v>
      </c>
      <c r="J500" t="s">
        <v>94</v>
      </c>
      <c r="K500" s="2">
        <v>17578.87</v>
      </c>
      <c r="L500" s="9">
        <v>0.8</v>
      </c>
      <c r="M500" s="15">
        <f t="shared" si="22"/>
        <v>14063.096</v>
      </c>
      <c r="N500" s="15">
        <f t="shared" si="23"/>
        <v>3515.7739999999994</v>
      </c>
      <c r="O500" t="s">
        <v>15</v>
      </c>
    </row>
    <row r="501" spans="1:15" hidden="1" x14ac:dyDescent="0.35">
      <c r="A501" t="s">
        <v>967</v>
      </c>
      <c r="B501" t="s">
        <v>737</v>
      </c>
      <c r="C501">
        <v>78</v>
      </c>
      <c r="D501" s="8" t="str" cm="1">
        <f t="array" ref="D501">_xlfn.IFS(C501&lt;=2, "Infant", C501&lt;=11, "Child", C501&lt;=17, "Adolescent", C501&lt;=44, "Young Adult", C501&lt;=64, "Middle Aged", C501&lt;=84,"Young Old", C501&gt;=85,"Oldest Old")</f>
        <v>Young Old</v>
      </c>
      <c r="E501" t="s">
        <v>12</v>
      </c>
      <c r="F501" s="4">
        <v>45910</v>
      </c>
      <c r="G501" s="4">
        <v>45912</v>
      </c>
      <c r="H501" s="7">
        <f t="shared" si="21"/>
        <v>2</v>
      </c>
      <c r="I501" t="s">
        <v>31</v>
      </c>
      <c r="J501" t="s">
        <v>53</v>
      </c>
      <c r="K501" s="2">
        <v>1203.76</v>
      </c>
      <c r="L501" s="9">
        <v>0.9</v>
      </c>
      <c r="M501" s="15">
        <f t="shared" si="22"/>
        <v>1083.384</v>
      </c>
      <c r="N501" s="15">
        <f t="shared" si="23"/>
        <v>120.37599999999998</v>
      </c>
      <c r="O501" t="s">
        <v>20</v>
      </c>
    </row>
    <row r="502" spans="1:15" hidden="1" x14ac:dyDescent="0.35">
      <c r="A502" t="s">
        <v>968</v>
      </c>
      <c r="B502" t="s">
        <v>969</v>
      </c>
      <c r="C502">
        <v>22</v>
      </c>
      <c r="D502" s="8" t="str" cm="1">
        <f t="array" ref="D502">_xlfn.IFS(C502&lt;=2, "Infant", C502&lt;=11, "Child", C502&lt;=17, "Adolescent", C502&lt;=44, "Young Adult", C502&lt;=64, "Middle Aged", C502&lt;=84,"Young Old", C502&gt;=85,"Oldest Old")</f>
        <v>Young Adult</v>
      </c>
      <c r="E502" t="s">
        <v>18</v>
      </c>
      <c r="F502" s="4">
        <v>45639</v>
      </c>
      <c r="G502" s="4">
        <v>45642</v>
      </c>
      <c r="H502" s="7">
        <f t="shared" si="21"/>
        <v>3</v>
      </c>
      <c r="I502" t="s">
        <v>23</v>
      </c>
      <c r="J502" t="s">
        <v>24</v>
      </c>
      <c r="K502" s="2">
        <v>2453.12</v>
      </c>
      <c r="L502" s="9">
        <v>0.5</v>
      </c>
      <c r="M502" s="15">
        <f t="shared" si="22"/>
        <v>1226.56</v>
      </c>
      <c r="N502" s="15">
        <f t="shared" si="23"/>
        <v>1226.56</v>
      </c>
      <c r="O502" t="s">
        <v>15</v>
      </c>
    </row>
    <row r="503" spans="1:15" hidden="1" x14ac:dyDescent="0.35">
      <c r="A503" t="s">
        <v>970</v>
      </c>
      <c r="B503" t="s">
        <v>971</v>
      </c>
      <c r="C503">
        <v>64</v>
      </c>
      <c r="D503" s="8" t="str" cm="1">
        <f t="array" ref="D503">_xlfn.IFS(C503&lt;=2, "Infant", C503&lt;=11, "Child", C503&lt;=17, "Adolescent", C503&lt;=44, "Young Adult", C503&lt;=64, "Middle Aged", C503&lt;=84,"Young Old", C503&gt;=85,"Oldest Old")</f>
        <v>Middle Aged</v>
      </c>
      <c r="E503" t="s">
        <v>12</v>
      </c>
      <c r="F503" s="4">
        <v>45410</v>
      </c>
      <c r="G503" s="4">
        <v>45413</v>
      </c>
      <c r="H503" s="7">
        <f t="shared" si="21"/>
        <v>3</v>
      </c>
      <c r="I503" t="s">
        <v>13</v>
      </c>
      <c r="J503" t="s">
        <v>102</v>
      </c>
      <c r="K503" s="2">
        <v>6452.72</v>
      </c>
      <c r="L503" s="9">
        <v>0.7</v>
      </c>
      <c r="M503" s="15">
        <f t="shared" si="22"/>
        <v>4516.9039999999995</v>
      </c>
      <c r="N503" s="15">
        <f t="shared" si="23"/>
        <v>1935.8160000000007</v>
      </c>
      <c r="O503" t="s">
        <v>15</v>
      </c>
    </row>
    <row r="504" spans="1:15" hidden="1" x14ac:dyDescent="0.35">
      <c r="A504" t="s">
        <v>972</v>
      </c>
      <c r="B504" t="s">
        <v>973</v>
      </c>
      <c r="C504">
        <v>10</v>
      </c>
      <c r="D504" s="8" t="str" cm="1">
        <f t="array" ref="D504">_xlfn.IFS(C504&lt;=2, "Infant", C504&lt;=11, "Child", C504&lt;=17, "Adolescent", C504&lt;=44, "Young Adult", C504&lt;=64, "Middle Aged", C504&lt;=84,"Young Old", C504&gt;=85,"Oldest Old")</f>
        <v>Child</v>
      </c>
      <c r="E504" t="s">
        <v>18</v>
      </c>
      <c r="F504" s="4">
        <v>45504</v>
      </c>
      <c r="G504" s="4">
        <v>45507</v>
      </c>
      <c r="H504" s="7">
        <f t="shared" si="21"/>
        <v>3</v>
      </c>
      <c r="I504" t="s">
        <v>49</v>
      </c>
      <c r="J504" t="s">
        <v>50</v>
      </c>
      <c r="K504" s="2">
        <v>3215.48</v>
      </c>
      <c r="L504" s="9">
        <v>0.9</v>
      </c>
      <c r="M504" s="15">
        <f t="shared" si="22"/>
        <v>2893.9320000000002</v>
      </c>
      <c r="N504" s="15">
        <f t="shared" si="23"/>
        <v>321.54799999999977</v>
      </c>
      <c r="O504" t="s">
        <v>15</v>
      </c>
    </row>
    <row r="505" spans="1:15" hidden="1" x14ac:dyDescent="0.35">
      <c r="A505" t="s">
        <v>974</v>
      </c>
      <c r="B505" t="s">
        <v>975</v>
      </c>
      <c r="C505">
        <v>62</v>
      </c>
      <c r="D505" s="8" t="str" cm="1">
        <f t="array" ref="D505">_xlfn.IFS(C505&lt;=2, "Infant", C505&lt;=11, "Child", C505&lt;=17, "Adolescent", C505&lt;=44, "Young Adult", C505&lt;=64, "Middle Aged", C505&lt;=84,"Young Old", C505&gt;=85,"Oldest Old")</f>
        <v>Middle Aged</v>
      </c>
      <c r="E505" t="s">
        <v>12</v>
      </c>
      <c r="F505" s="4">
        <v>45678</v>
      </c>
      <c r="G505" s="4">
        <v>45684</v>
      </c>
      <c r="H505" s="7">
        <f t="shared" si="21"/>
        <v>6</v>
      </c>
      <c r="I505" t="s">
        <v>13</v>
      </c>
      <c r="J505" t="s">
        <v>38</v>
      </c>
      <c r="K505" s="2">
        <v>17458.62</v>
      </c>
      <c r="L505" s="9">
        <v>0</v>
      </c>
      <c r="M505" s="15">
        <f t="shared" si="22"/>
        <v>0</v>
      </c>
      <c r="N505" s="15">
        <f t="shared" si="23"/>
        <v>17458.62</v>
      </c>
      <c r="O505" t="s">
        <v>15</v>
      </c>
    </row>
    <row r="506" spans="1:15" hidden="1" x14ac:dyDescent="0.35">
      <c r="A506" t="s">
        <v>976</v>
      </c>
      <c r="B506" t="s">
        <v>789</v>
      </c>
      <c r="C506">
        <v>57</v>
      </c>
      <c r="D506" s="8" t="str" cm="1">
        <f t="array" ref="D506">_xlfn.IFS(C506&lt;=2, "Infant", C506&lt;=11, "Child", C506&lt;=17, "Adolescent", C506&lt;=44, "Young Adult", C506&lt;=64, "Middle Aged", C506&lt;=84,"Young Old", C506&gt;=85,"Oldest Old")</f>
        <v>Middle Aged</v>
      </c>
      <c r="E506" t="s">
        <v>12</v>
      </c>
      <c r="F506" s="4">
        <v>45993</v>
      </c>
      <c r="G506" s="4">
        <v>45998</v>
      </c>
      <c r="H506" s="7">
        <f t="shared" si="21"/>
        <v>5</v>
      </c>
      <c r="I506" t="s">
        <v>13</v>
      </c>
      <c r="J506" t="s">
        <v>14</v>
      </c>
      <c r="K506" s="2">
        <v>14707.56</v>
      </c>
      <c r="L506" s="9">
        <v>0.8</v>
      </c>
      <c r="M506" s="15">
        <f t="shared" si="22"/>
        <v>11766.048000000001</v>
      </c>
      <c r="N506" s="15">
        <f t="shared" si="23"/>
        <v>2941.5119999999988</v>
      </c>
      <c r="O506" t="s">
        <v>25</v>
      </c>
    </row>
    <row r="507" spans="1:15" hidden="1" x14ac:dyDescent="0.35">
      <c r="A507" t="s">
        <v>977</v>
      </c>
      <c r="B507" t="s">
        <v>978</v>
      </c>
      <c r="C507">
        <v>52</v>
      </c>
      <c r="D507" s="8" t="str" cm="1">
        <f t="array" ref="D507">_xlfn.IFS(C507&lt;=2, "Infant", C507&lt;=11, "Child", C507&lt;=17, "Adolescent", C507&lt;=44, "Young Adult", C507&lt;=64, "Middle Aged", C507&lt;=84,"Young Old", C507&gt;=85,"Oldest Old")</f>
        <v>Middle Aged</v>
      </c>
      <c r="E507" t="s">
        <v>12</v>
      </c>
      <c r="F507" s="4">
        <v>45486</v>
      </c>
      <c r="G507" s="4">
        <v>45490</v>
      </c>
      <c r="H507" s="7">
        <f t="shared" si="21"/>
        <v>4</v>
      </c>
      <c r="I507" t="s">
        <v>31</v>
      </c>
      <c r="J507" t="s">
        <v>53</v>
      </c>
      <c r="K507" s="2">
        <v>5116.62</v>
      </c>
      <c r="L507" s="9">
        <v>0.9</v>
      </c>
      <c r="M507" s="15">
        <f t="shared" si="22"/>
        <v>4604.9579999999996</v>
      </c>
      <c r="N507" s="15">
        <f t="shared" si="23"/>
        <v>511.66200000000026</v>
      </c>
      <c r="O507" t="s">
        <v>25</v>
      </c>
    </row>
    <row r="508" spans="1:15" hidden="1" x14ac:dyDescent="0.35">
      <c r="A508" t="s">
        <v>979</v>
      </c>
      <c r="B508" t="s">
        <v>626</v>
      </c>
      <c r="C508">
        <v>29</v>
      </c>
      <c r="D508" s="8" t="str" cm="1">
        <f t="array" ref="D508">_xlfn.IFS(C508&lt;=2, "Infant", C508&lt;=11, "Child", C508&lt;=17, "Adolescent", C508&lt;=44, "Young Adult", C508&lt;=64, "Middle Aged", C508&lt;=84,"Young Old", C508&gt;=85,"Oldest Old")</f>
        <v>Young Adult</v>
      </c>
      <c r="E508" t="s">
        <v>18</v>
      </c>
      <c r="F508" s="4">
        <v>45510</v>
      </c>
      <c r="G508" s="4">
        <v>45517</v>
      </c>
      <c r="H508" s="7">
        <f t="shared" si="21"/>
        <v>7</v>
      </c>
      <c r="I508" t="s">
        <v>60</v>
      </c>
      <c r="J508" t="s">
        <v>97</v>
      </c>
      <c r="K508" s="2">
        <v>11957.78</v>
      </c>
      <c r="L508" s="9">
        <v>0.8</v>
      </c>
      <c r="M508" s="15">
        <f t="shared" si="22"/>
        <v>9566.2240000000002</v>
      </c>
      <c r="N508" s="15">
        <f t="shared" si="23"/>
        <v>2391.5560000000005</v>
      </c>
      <c r="O508" t="s">
        <v>20</v>
      </c>
    </row>
    <row r="509" spans="1:15" hidden="1" x14ac:dyDescent="0.35">
      <c r="A509" t="s">
        <v>980</v>
      </c>
      <c r="B509" t="s">
        <v>136</v>
      </c>
      <c r="C509">
        <v>76</v>
      </c>
      <c r="D509" s="8" t="str" cm="1">
        <f t="array" ref="D509">_xlfn.IFS(C509&lt;=2, "Infant", C509&lt;=11, "Child", C509&lt;=17, "Adolescent", C509&lt;=44, "Young Adult", C509&lt;=64, "Middle Aged", C509&lt;=84,"Young Old", C509&gt;=85,"Oldest Old")</f>
        <v>Young Old</v>
      </c>
      <c r="E509" t="s">
        <v>18</v>
      </c>
      <c r="F509" s="4">
        <v>45525</v>
      </c>
      <c r="G509" s="4">
        <v>45526</v>
      </c>
      <c r="H509" s="7">
        <f t="shared" si="21"/>
        <v>1</v>
      </c>
      <c r="I509" t="s">
        <v>23</v>
      </c>
      <c r="J509" t="s">
        <v>28</v>
      </c>
      <c r="K509" s="2">
        <v>2237.66</v>
      </c>
      <c r="L509" s="9">
        <v>0.8</v>
      </c>
      <c r="M509" s="15">
        <f t="shared" si="22"/>
        <v>1790.1279999999999</v>
      </c>
      <c r="N509" s="15">
        <f t="shared" si="23"/>
        <v>447.53199999999993</v>
      </c>
      <c r="O509" t="s">
        <v>15</v>
      </c>
    </row>
    <row r="510" spans="1:15" hidden="1" x14ac:dyDescent="0.35">
      <c r="A510" t="s">
        <v>981</v>
      </c>
      <c r="B510" t="s">
        <v>982</v>
      </c>
      <c r="C510">
        <v>29</v>
      </c>
      <c r="D510" s="8" t="str" cm="1">
        <f t="array" ref="D510">_xlfn.IFS(C510&lt;=2, "Infant", C510&lt;=11, "Child", C510&lt;=17, "Adolescent", C510&lt;=44, "Young Adult", C510&lt;=64, "Middle Aged", C510&lt;=84,"Young Old", C510&gt;=85,"Oldest Old")</f>
        <v>Young Adult</v>
      </c>
      <c r="E510" t="s">
        <v>12</v>
      </c>
      <c r="F510" s="4">
        <v>45856</v>
      </c>
      <c r="G510" s="4">
        <v>45857</v>
      </c>
      <c r="H510" s="7">
        <f t="shared" si="21"/>
        <v>1</v>
      </c>
      <c r="I510" t="s">
        <v>31</v>
      </c>
      <c r="J510" t="s">
        <v>44</v>
      </c>
      <c r="K510" s="2">
        <v>912.18</v>
      </c>
      <c r="L510" s="9">
        <v>0.5</v>
      </c>
      <c r="M510" s="15">
        <f t="shared" si="22"/>
        <v>456.09</v>
      </c>
      <c r="N510" s="15">
        <f t="shared" si="23"/>
        <v>456.09</v>
      </c>
      <c r="O510" t="s">
        <v>20</v>
      </c>
    </row>
    <row r="511" spans="1:15" hidden="1" x14ac:dyDescent="0.35">
      <c r="A511" t="s">
        <v>983</v>
      </c>
      <c r="B511" t="s">
        <v>984</v>
      </c>
      <c r="C511">
        <v>63</v>
      </c>
      <c r="D511" s="8" t="str" cm="1">
        <f t="array" ref="D511">_xlfn.IFS(C511&lt;=2, "Infant", C511&lt;=11, "Child", C511&lt;=17, "Adolescent", C511&lt;=44, "Young Adult", C511&lt;=64, "Middle Aged", C511&lt;=84,"Young Old", C511&gt;=85,"Oldest Old")</f>
        <v>Middle Aged</v>
      </c>
      <c r="E511" t="s">
        <v>18</v>
      </c>
      <c r="F511" s="4">
        <v>45666</v>
      </c>
      <c r="G511" s="4">
        <v>45667</v>
      </c>
      <c r="H511" s="7">
        <f t="shared" si="21"/>
        <v>1</v>
      </c>
      <c r="I511" t="s">
        <v>23</v>
      </c>
      <c r="J511" t="s">
        <v>41</v>
      </c>
      <c r="K511" s="2">
        <v>2435.08</v>
      </c>
      <c r="L511" s="9">
        <v>0.6</v>
      </c>
      <c r="M511" s="15">
        <f t="shared" si="22"/>
        <v>1461.048</v>
      </c>
      <c r="N511" s="15">
        <f t="shared" si="23"/>
        <v>974.03199999999993</v>
      </c>
      <c r="O511" t="s">
        <v>25</v>
      </c>
    </row>
    <row r="512" spans="1:15" hidden="1" x14ac:dyDescent="0.35">
      <c r="A512" t="s">
        <v>985</v>
      </c>
      <c r="B512" t="s">
        <v>76</v>
      </c>
      <c r="C512">
        <v>55</v>
      </c>
      <c r="D512" s="8" t="str" cm="1">
        <f t="array" ref="D512">_xlfn.IFS(C512&lt;=2, "Infant", C512&lt;=11, "Child", C512&lt;=17, "Adolescent", C512&lt;=44, "Young Adult", C512&lt;=64, "Middle Aged", C512&lt;=84,"Young Old", C512&gt;=85,"Oldest Old")</f>
        <v>Middle Aged</v>
      </c>
      <c r="E512" t="s">
        <v>12</v>
      </c>
      <c r="F512" s="4">
        <v>45328</v>
      </c>
      <c r="G512" s="4">
        <v>45340</v>
      </c>
      <c r="H512" s="7">
        <f t="shared" si="21"/>
        <v>12</v>
      </c>
      <c r="I512" t="s">
        <v>60</v>
      </c>
      <c r="J512" t="s">
        <v>142</v>
      </c>
      <c r="K512" s="2">
        <v>26103.65</v>
      </c>
      <c r="L512" s="9">
        <v>0.6</v>
      </c>
      <c r="M512" s="15">
        <f t="shared" si="22"/>
        <v>15662.19</v>
      </c>
      <c r="N512" s="15">
        <f t="shared" si="23"/>
        <v>10441.460000000001</v>
      </c>
      <c r="O512" t="s">
        <v>25</v>
      </c>
    </row>
    <row r="513" spans="1:15" hidden="1" x14ac:dyDescent="0.35">
      <c r="A513" t="s">
        <v>986</v>
      </c>
      <c r="B513" t="s">
        <v>987</v>
      </c>
      <c r="C513">
        <v>6</v>
      </c>
      <c r="D513" s="8" t="str" cm="1">
        <f t="array" ref="D513">_xlfn.IFS(C513&lt;=2, "Infant", C513&lt;=11, "Child", C513&lt;=17, "Adolescent", C513&lt;=44, "Young Adult", C513&lt;=64, "Middle Aged", C513&lt;=84,"Young Old", C513&gt;=85,"Oldest Old")</f>
        <v>Child</v>
      </c>
      <c r="E513" t="s">
        <v>12</v>
      </c>
      <c r="F513" s="4">
        <v>45695</v>
      </c>
      <c r="G513" s="4">
        <v>45696</v>
      </c>
      <c r="H513" s="7">
        <f t="shared" si="21"/>
        <v>1</v>
      </c>
      <c r="I513" t="s">
        <v>49</v>
      </c>
      <c r="J513" t="s">
        <v>50</v>
      </c>
      <c r="K513" s="2">
        <v>762.87</v>
      </c>
      <c r="L513" s="9">
        <v>0.8</v>
      </c>
      <c r="M513" s="15">
        <f t="shared" si="22"/>
        <v>610.29600000000005</v>
      </c>
      <c r="N513" s="15">
        <f t="shared" si="23"/>
        <v>152.57399999999996</v>
      </c>
      <c r="O513" t="s">
        <v>15</v>
      </c>
    </row>
    <row r="514" spans="1:15" hidden="1" x14ac:dyDescent="0.35">
      <c r="A514" t="s">
        <v>988</v>
      </c>
      <c r="B514" t="s">
        <v>989</v>
      </c>
      <c r="C514">
        <v>15</v>
      </c>
      <c r="D514" s="8" t="str" cm="1">
        <f t="array" ref="D514">_xlfn.IFS(C514&lt;=2, "Infant", C514&lt;=11, "Child", C514&lt;=17, "Adolescent", C514&lt;=44, "Young Adult", C514&lt;=64, "Middle Aged", C514&lt;=84,"Young Old", C514&gt;=85,"Oldest Old")</f>
        <v>Adolescent</v>
      </c>
      <c r="E514" t="s">
        <v>18</v>
      </c>
      <c r="F514" s="4">
        <v>45945</v>
      </c>
      <c r="G514" s="4">
        <v>45946</v>
      </c>
      <c r="H514" s="7">
        <f t="shared" si="21"/>
        <v>1</v>
      </c>
      <c r="I514" t="s">
        <v>49</v>
      </c>
      <c r="J514" t="s">
        <v>120</v>
      </c>
      <c r="K514" s="2">
        <v>653.57000000000005</v>
      </c>
      <c r="L514" s="9">
        <v>0.7</v>
      </c>
      <c r="M514" s="15">
        <f t="shared" si="22"/>
        <v>457.49900000000002</v>
      </c>
      <c r="N514" s="15">
        <f t="shared" si="23"/>
        <v>196.07100000000003</v>
      </c>
      <c r="O514" t="s">
        <v>20</v>
      </c>
    </row>
    <row r="515" spans="1:15" hidden="1" x14ac:dyDescent="0.35">
      <c r="A515" t="s">
        <v>990</v>
      </c>
      <c r="B515" t="s">
        <v>466</v>
      </c>
      <c r="C515">
        <v>60</v>
      </c>
      <c r="D515" s="8" t="str" cm="1">
        <f t="array" ref="D515">_xlfn.IFS(C515&lt;=2, "Infant", C515&lt;=11, "Child", C515&lt;=17, "Adolescent", C515&lt;=44, "Young Adult", C515&lt;=64, "Middle Aged", C515&lt;=84,"Young Old", C515&gt;=85,"Oldest Old")</f>
        <v>Middle Aged</v>
      </c>
      <c r="E515" t="s">
        <v>18</v>
      </c>
      <c r="F515" s="4">
        <v>46015</v>
      </c>
      <c r="G515" s="4">
        <v>46018</v>
      </c>
      <c r="H515" s="7">
        <f t="shared" ref="H515:H578" si="24">DATEDIF(F515,G515,"D")</f>
        <v>3</v>
      </c>
      <c r="I515" t="s">
        <v>60</v>
      </c>
      <c r="J515" t="s">
        <v>97</v>
      </c>
      <c r="K515" s="2">
        <v>7007.11</v>
      </c>
      <c r="L515" s="9">
        <v>0.8</v>
      </c>
      <c r="M515" s="15">
        <f t="shared" ref="M515:M578" si="25">L515*K515</f>
        <v>5605.6880000000001</v>
      </c>
      <c r="N515" s="15">
        <f t="shared" ref="N515:N578" si="26">K515-M515</f>
        <v>1401.4219999999996</v>
      </c>
      <c r="O515" t="s">
        <v>15</v>
      </c>
    </row>
    <row r="516" spans="1:15" hidden="1" x14ac:dyDescent="0.35">
      <c r="A516" t="s">
        <v>991</v>
      </c>
      <c r="B516" t="s">
        <v>992</v>
      </c>
      <c r="C516">
        <v>66</v>
      </c>
      <c r="D516" s="8" t="str" cm="1">
        <f t="array" ref="D516">_xlfn.IFS(C516&lt;=2, "Infant", C516&lt;=11, "Child", C516&lt;=17, "Adolescent", C516&lt;=44, "Young Adult", C516&lt;=64, "Middle Aged", C516&lt;=84,"Young Old", C516&gt;=85,"Oldest Old")</f>
        <v>Young Old</v>
      </c>
      <c r="E516" t="s">
        <v>12</v>
      </c>
      <c r="F516" s="4">
        <v>45792</v>
      </c>
      <c r="G516" s="4">
        <v>45799</v>
      </c>
      <c r="H516" s="7">
        <f t="shared" si="24"/>
        <v>7</v>
      </c>
      <c r="I516" t="s">
        <v>31</v>
      </c>
      <c r="J516" t="s">
        <v>44</v>
      </c>
      <c r="K516" s="2">
        <v>9641.39</v>
      </c>
      <c r="L516" s="9">
        <v>0.8</v>
      </c>
      <c r="M516" s="15">
        <f t="shared" si="25"/>
        <v>7713.1120000000001</v>
      </c>
      <c r="N516" s="15">
        <f t="shared" si="26"/>
        <v>1928.2779999999993</v>
      </c>
      <c r="O516" t="s">
        <v>15</v>
      </c>
    </row>
    <row r="517" spans="1:15" hidden="1" x14ac:dyDescent="0.35">
      <c r="A517" t="s">
        <v>993</v>
      </c>
      <c r="B517" t="s">
        <v>994</v>
      </c>
      <c r="C517">
        <v>41</v>
      </c>
      <c r="D517" s="8" t="str" cm="1">
        <f t="array" ref="D517">_xlfn.IFS(C517&lt;=2, "Infant", C517&lt;=11, "Child", C517&lt;=17, "Adolescent", C517&lt;=44, "Young Adult", C517&lt;=64, "Middle Aged", C517&lt;=84,"Young Old", C517&gt;=85,"Oldest Old")</f>
        <v>Young Adult</v>
      </c>
      <c r="E517" t="s">
        <v>18</v>
      </c>
      <c r="F517" s="4">
        <v>45748</v>
      </c>
      <c r="G517" s="4">
        <v>45758</v>
      </c>
      <c r="H517" s="7">
        <f t="shared" si="24"/>
        <v>10</v>
      </c>
      <c r="I517" t="s">
        <v>60</v>
      </c>
      <c r="J517" t="s">
        <v>97</v>
      </c>
      <c r="K517" s="2">
        <v>20277.68</v>
      </c>
      <c r="L517" s="9">
        <v>0.6</v>
      </c>
      <c r="M517" s="15">
        <f t="shared" si="25"/>
        <v>12166.608</v>
      </c>
      <c r="N517" s="15">
        <f t="shared" si="26"/>
        <v>8111.0720000000001</v>
      </c>
      <c r="O517" t="s">
        <v>20</v>
      </c>
    </row>
    <row r="518" spans="1:15" hidden="1" x14ac:dyDescent="0.35">
      <c r="A518" t="s">
        <v>995</v>
      </c>
      <c r="B518" t="s">
        <v>996</v>
      </c>
      <c r="C518">
        <v>56</v>
      </c>
      <c r="D518" s="8" t="str" cm="1">
        <f t="array" ref="D518">_xlfn.IFS(C518&lt;=2, "Infant", C518&lt;=11, "Child", C518&lt;=17, "Adolescent", C518&lt;=44, "Young Adult", C518&lt;=64, "Middle Aged", C518&lt;=84,"Young Old", C518&gt;=85,"Oldest Old")</f>
        <v>Middle Aged</v>
      </c>
      <c r="E518" t="s">
        <v>18</v>
      </c>
      <c r="F518" s="4">
        <v>45950</v>
      </c>
      <c r="G518" s="4">
        <v>45957</v>
      </c>
      <c r="H518" s="7">
        <f t="shared" si="24"/>
        <v>7</v>
      </c>
      <c r="I518" t="s">
        <v>13</v>
      </c>
      <c r="J518" t="s">
        <v>111</v>
      </c>
      <c r="K518" s="2">
        <v>10406.790000000001</v>
      </c>
      <c r="L518" s="9">
        <v>0.7</v>
      </c>
      <c r="M518" s="15">
        <f t="shared" si="25"/>
        <v>7284.7529999999997</v>
      </c>
      <c r="N518" s="15">
        <f t="shared" si="26"/>
        <v>3122.0370000000012</v>
      </c>
      <c r="O518" t="s">
        <v>20</v>
      </c>
    </row>
    <row r="519" spans="1:15" hidden="1" x14ac:dyDescent="0.35">
      <c r="A519" t="s">
        <v>997</v>
      </c>
      <c r="B519" t="s">
        <v>998</v>
      </c>
      <c r="C519">
        <v>25</v>
      </c>
      <c r="D519" s="8" t="str" cm="1">
        <f t="array" ref="D519">_xlfn.IFS(C519&lt;=2, "Infant", C519&lt;=11, "Child", C519&lt;=17, "Adolescent", C519&lt;=44, "Young Adult", C519&lt;=64, "Middle Aged", C519&lt;=84,"Young Old", C519&gt;=85,"Oldest Old")</f>
        <v>Young Adult</v>
      </c>
      <c r="E519" t="s">
        <v>12</v>
      </c>
      <c r="F519" s="4">
        <v>45768</v>
      </c>
      <c r="G519" s="4">
        <v>45771</v>
      </c>
      <c r="H519" s="7">
        <f t="shared" si="24"/>
        <v>3</v>
      </c>
      <c r="I519" t="s">
        <v>23</v>
      </c>
      <c r="J519" t="s">
        <v>333</v>
      </c>
      <c r="K519" s="2">
        <v>5735.73</v>
      </c>
      <c r="L519" s="9">
        <v>0.8</v>
      </c>
      <c r="M519" s="15">
        <f t="shared" si="25"/>
        <v>4588.5839999999998</v>
      </c>
      <c r="N519" s="15">
        <f t="shared" si="26"/>
        <v>1147.1459999999997</v>
      </c>
      <c r="O519" t="s">
        <v>20</v>
      </c>
    </row>
    <row r="520" spans="1:15" hidden="1" x14ac:dyDescent="0.35">
      <c r="A520" t="s">
        <v>999</v>
      </c>
      <c r="B520" t="s">
        <v>706</v>
      </c>
      <c r="C520">
        <v>38</v>
      </c>
      <c r="D520" s="8" t="str" cm="1">
        <f t="array" ref="D520">_xlfn.IFS(C520&lt;=2, "Infant", C520&lt;=11, "Child", C520&lt;=17, "Adolescent", C520&lt;=44, "Young Adult", C520&lt;=64, "Middle Aged", C520&lt;=84,"Young Old", C520&gt;=85,"Oldest Old")</f>
        <v>Young Adult</v>
      </c>
      <c r="E520" t="s">
        <v>12</v>
      </c>
      <c r="F520" s="4">
        <v>45479</v>
      </c>
      <c r="G520" s="4">
        <v>45482</v>
      </c>
      <c r="H520" s="7">
        <f t="shared" si="24"/>
        <v>3</v>
      </c>
      <c r="I520" t="s">
        <v>31</v>
      </c>
      <c r="J520" t="s">
        <v>53</v>
      </c>
      <c r="K520" s="2">
        <v>4420.13</v>
      </c>
      <c r="L520" s="9">
        <v>0.9</v>
      </c>
      <c r="M520" s="15">
        <f t="shared" si="25"/>
        <v>3978.1170000000002</v>
      </c>
      <c r="N520" s="15">
        <f t="shared" si="26"/>
        <v>442.01299999999992</v>
      </c>
      <c r="O520" t="s">
        <v>15</v>
      </c>
    </row>
    <row r="521" spans="1:15" hidden="1" x14ac:dyDescent="0.35">
      <c r="A521" t="s">
        <v>1000</v>
      </c>
      <c r="B521" t="s">
        <v>1001</v>
      </c>
      <c r="C521">
        <v>56</v>
      </c>
      <c r="D521" s="8" t="str" cm="1">
        <f t="array" ref="D521">_xlfn.IFS(C521&lt;=2, "Infant", C521&lt;=11, "Child", C521&lt;=17, "Adolescent", C521&lt;=44, "Young Adult", C521&lt;=64, "Middle Aged", C521&lt;=84,"Young Old", C521&gt;=85,"Oldest Old")</f>
        <v>Middle Aged</v>
      </c>
      <c r="E521" t="s">
        <v>18</v>
      </c>
      <c r="F521" s="4">
        <v>45888</v>
      </c>
      <c r="G521" s="4">
        <v>45894</v>
      </c>
      <c r="H521" s="7">
        <f t="shared" si="24"/>
        <v>6</v>
      </c>
      <c r="I521" t="s">
        <v>31</v>
      </c>
      <c r="J521" t="s">
        <v>114</v>
      </c>
      <c r="K521" s="2">
        <v>4034.24</v>
      </c>
      <c r="L521" s="9">
        <v>0.9</v>
      </c>
      <c r="M521" s="15">
        <f t="shared" si="25"/>
        <v>3630.8159999999998</v>
      </c>
      <c r="N521" s="15">
        <f t="shared" si="26"/>
        <v>403.42399999999998</v>
      </c>
      <c r="O521" t="s">
        <v>20</v>
      </c>
    </row>
    <row r="522" spans="1:15" hidden="1" x14ac:dyDescent="0.35">
      <c r="A522" t="s">
        <v>1002</v>
      </c>
      <c r="B522" t="s">
        <v>1003</v>
      </c>
      <c r="C522">
        <v>53</v>
      </c>
      <c r="D522" s="8" t="str" cm="1">
        <f t="array" ref="D522">_xlfn.IFS(C522&lt;=2, "Infant", C522&lt;=11, "Child", C522&lt;=17, "Adolescent", C522&lt;=44, "Young Adult", C522&lt;=64, "Middle Aged", C522&lt;=84,"Young Old", C522&gt;=85,"Oldest Old")</f>
        <v>Middle Aged</v>
      </c>
      <c r="E522" t="s">
        <v>12</v>
      </c>
      <c r="F522" s="4">
        <v>45681</v>
      </c>
      <c r="G522" s="4">
        <v>45692</v>
      </c>
      <c r="H522" s="7">
        <f t="shared" si="24"/>
        <v>11</v>
      </c>
      <c r="I522" t="s">
        <v>70</v>
      </c>
      <c r="J522" t="s">
        <v>71</v>
      </c>
      <c r="K522" s="2">
        <v>18224.23</v>
      </c>
      <c r="L522" s="9">
        <v>0.8</v>
      </c>
      <c r="M522" s="15">
        <f t="shared" si="25"/>
        <v>14579.384</v>
      </c>
      <c r="N522" s="15">
        <f t="shared" si="26"/>
        <v>3644.8459999999995</v>
      </c>
      <c r="O522" t="s">
        <v>15</v>
      </c>
    </row>
    <row r="523" spans="1:15" hidden="1" x14ac:dyDescent="0.35">
      <c r="A523" t="s">
        <v>1004</v>
      </c>
      <c r="B523" t="s">
        <v>1005</v>
      </c>
      <c r="C523">
        <v>21</v>
      </c>
      <c r="D523" s="8" t="str" cm="1">
        <f t="array" ref="D523">_xlfn.IFS(C523&lt;=2, "Infant", C523&lt;=11, "Child", C523&lt;=17, "Adolescent", C523&lt;=44, "Young Adult", C523&lt;=64, "Middle Aged", C523&lt;=84,"Young Old", C523&gt;=85,"Oldest Old")</f>
        <v>Young Adult</v>
      </c>
      <c r="E523" t="s">
        <v>12</v>
      </c>
      <c r="F523" s="4">
        <v>45495</v>
      </c>
      <c r="G523" s="4">
        <v>45502</v>
      </c>
      <c r="H523" s="7">
        <f t="shared" si="24"/>
        <v>7</v>
      </c>
      <c r="I523" t="s">
        <v>31</v>
      </c>
      <c r="J523" t="s">
        <v>114</v>
      </c>
      <c r="K523" s="2">
        <v>4562.96</v>
      </c>
      <c r="L523" s="9">
        <v>0.9</v>
      </c>
      <c r="M523" s="15">
        <f t="shared" si="25"/>
        <v>4106.6639999999998</v>
      </c>
      <c r="N523" s="15">
        <f t="shared" si="26"/>
        <v>456.29600000000028</v>
      </c>
      <c r="O523" t="s">
        <v>15</v>
      </c>
    </row>
    <row r="524" spans="1:15" hidden="1" x14ac:dyDescent="0.35">
      <c r="A524" t="s">
        <v>1006</v>
      </c>
      <c r="B524" t="s">
        <v>239</v>
      </c>
      <c r="C524">
        <v>1</v>
      </c>
      <c r="D524" s="8" t="str" cm="1">
        <f t="array" ref="D524">_xlfn.IFS(C524&lt;=2, "Infant", C524&lt;=11, "Child", C524&lt;=17, "Adolescent", C524&lt;=44, "Young Adult", C524&lt;=64, "Middle Aged", C524&lt;=84,"Young Old", C524&gt;=85,"Oldest Old")</f>
        <v>Infant</v>
      </c>
      <c r="E524" t="s">
        <v>12</v>
      </c>
      <c r="F524" s="4">
        <v>45596</v>
      </c>
      <c r="G524" s="4">
        <v>45601</v>
      </c>
      <c r="H524" s="7">
        <f t="shared" si="24"/>
        <v>5</v>
      </c>
      <c r="I524" t="s">
        <v>49</v>
      </c>
      <c r="J524" t="s">
        <v>120</v>
      </c>
      <c r="K524" s="2">
        <v>7560.63</v>
      </c>
      <c r="L524" s="9">
        <v>0</v>
      </c>
      <c r="M524" s="15">
        <f t="shared" si="25"/>
        <v>0</v>
      </c>
      <c r="N524" s="15">
        <f t="shared" si="26"/>
        <v>7560.63</v>
      </c>
      <c r="O524" t="s">
        <v>15</v>
      </c>
    </row>
    <row r="525" spans="1:15" hidden="1" x14ac:dyDescent="0.35">
      <c r="A525" t="s">
        <v>1007</v>
      </c>
      <c r="B525" t="s">
        <v>712</v>
      </c>
      <c r="C525">
        <v>21</v>
      </c>
      <c r="D525" s="8" t="str" cm="1">
        <f t="array" ref="D525">_xlfn.IFS(C525&lt;=2, "Infant", C525&lt;=11, "Child", C525&lt;=17, "Adolescent", C525&lt;=44, "Young Adult", C525&lt;=64, "Middle Aged", C525&lt;=84,"Young Old", C525&gt;=85,"Oldest Old")</f>
        <v>Young Adult</v>
      </c>
      <c r="E525" t="s">
        <v>18</v>
      </c>
      <c r="F525" s="4">
        <v>45853</v>
      </c>
      <c r="G525" s="4">
        <v>45854</v>
      </c>
      <c r="H525" s="7">
        <f t="shared" si="24"/>
        <v>1</v>
      </c>
      <c r="I525" t="s">
        <v>31</v>
      </c>
      <c r="J525" t="s">
        <v>44</v>
      </c>
      <c r="K525" s="2">
        <v>605</v>
      </c>
      <c r="L525" s="9">
        <v>0.8</v>
      </c>
      <c r="M525" s="15">
        <f t="shared" si="25"/>
        <v>484</v>
      </c>
      <c r="N525" s="15">
        <f t="shared" si="26"/>
        <v>121</v>
      </c>
      <c r="O525" t="s">
        <v>15</v>
      </c>
    </row>
    <row r="526" spans="1:15" hidden="1" x14ac:dyDescent="0.35">
      <c r="A526" t="s">
        <v>1008</v>
      </c>
      <c r="B526" t="s">
        <v>1009</v>
      </c>
      <c r="C526">
        <v>77</v>
      </c>
      <c r="D526" s="8" t="str" cm="1">
        <f t="array" ref="D526">_xlfn.IFS(C526&lt;=2, "Infant", C526&lt;=11, "Child", C526&lt;=17, "Adolescent", C526&lt;=44, "Young Adult", C526&lt;=64, "Middle Aged", C526&lt;=84,"Young Old", C526&gt;=85,"Oldest Old")</f>
        <v>Young Old</v>
      </c>
      <c r="E526" t="s">
        <v>18</v>
      </c>
      <c r="F526" s="4">
        <v>45682</v>
      </c>
      <c r="G526" s="4">
        <v>45683</v>
      </c>
      <c r="H526" s="7">
        <f t="shared" si="24"/>
        <v>1</v>
      </c>
      <c r="I526" t="s">
        <v>23</v>
      </c>
      <c r="J526" t="s">
        <v>204</v>
      </c>
      <c r="K526" s="2">
        <v>899.35</v>
      </c>
      <c r="L526" s="9">
        <v>0.7</v>
      </c>
      <c r="M526" s="15">
        <f t="shared" si="25"/>
        <v>629.54499999999996</v>
      </c>
      <c r="N526" s="15">
        <f t="shared" si="26"/>
        <v>269.80500000000006</v>
      </c>
      <c r="O526" t="s">
        <v>20</v>
      </c>
    </row>
    <row r="527" spans="1:15" hidden="1" x14ac:dyDescent="0.35">
      <c r="A527" t="s">
        <v>1010</v>
      </c>
      <c r="B527" t="s">
        <v>1011</v>
      </c>
      <c r="C527">
        <v>54</v>
      </c>
      <c r="D527" s="8" t="str" cm="1">
        <f t="array" ref="D527">_xlfn.IFS(C527&lt;=2, "Infant", C527&lt;=11, "Child", C527&lt;=17, "Adolescent", C527&lt;=44, "Young Adult", C527&lt;=64, "Middle Aged", C527&lt;=84,"Young Old", C527&gt;=85,"Oldest Old")</f>
        <v>Middle Aged</v>
      </c>
      <c r="E527" t="s">
        <v>12</v>
      </c>
      <c r="F527" s="4">
        <v>45350</v>
      </c>
      <c r="G527" s="4">
        <v>45355</v>
      </c>
      <c r="H527" s="7">
        <f t="shared" si="24"/>
        <v>5</v>
      </c>
      <c r="I527" t="s">
        <v>13</v>
      </c>
      <c r="J527" t="s">
        <v>14</v>
      </c>
      <c r="K527" s="2">
        <v>13642.77</v>
      </c>
      <c r="L527" s="9">
        <v>0.8</v>
      </c>
      <c r="M527" s="15">
        <f t="shared" si="25"/>
        <v>10914.216</v>
      </c>
      <c r="N527" s="15">
        <f t="shared" si="26"/>
        <v>2728.5540000000001</v>
      </c>
      <c r="O527" t="s">
        <v>25</v>
      </c>
    </row>
    <row r="528" spans="1:15" hidden="1" x14ac:dyDescent="0.35">
      <c r="A528" t="s">
        <v>1012</v>
      </c>
      <c r="B528" t="s">
        <v>478</v>
      </c>
      <c r="C528">
        <v>49</v>
      </c>
      <c r="D528" s="8" t="str" cm="1">
        <f t="array" ref="D528">_xlfn.IFS(C528&lt;=2, "Infant", C528&lt;=11, "Child", C528&lt;=17, "Adolescent", C528&lt;=44, "Young Adult", C528&lt;=64, "Middle Aged", C528&lt;=84,"Young Old", C528&gt;=85,"Oldest Old")</f>
        <v>Middle Aged</v>
      </c>
      <c r="E528" t="s">
        <v>18</v>
      </c>
      <c r="F528" s="4">
        <v>45543</v>
      </c>
      <c r="G528" s="4">
        <v>45544</v>
      </c>
      <c r="H528" s="7">
        <f t="shared" si="24"/>
        <v>1</v>
      </c>
      <c r="I528" t="s">
        <v>31</v>
      </c>
      <c r="J528" t="s">
        <v>87</v>
      </c>
      <c r="K528" s="2">
        <v>1419.55</v>
      </c>
      <c r="L528" s="9">
        <v>0.9</v>
      </c>
      <c r="M528" s="15">
        <f t="shared" si="25"/>
        <v>1277.595</v>
      </c>
      <c r="N528" s="15">
        <f t="shared" si="26"/>
        <v>141.95499999999993</v>
      </c>
      <c r="O528" t="s">
        <v>25</v>
      </c>
    </row>
    <row r="529" spans="1:15" x14ac:dyDescent="0.35">
      <c r="A529" t="s">
        <v>1013</v>
      </c>
      <c r="B529" t="s">
        <v>1014</v>
      </c>
      <c r="C529">
        <v>74</v>
      </c>
      <c r="D529" s="8" t="str" cm="1">
        <f t="array" ref="D529">_xlfn.IFS(C529&lt;=2, "Infant", C529&lt;=11, "Child", C529&lt;=17, "Adolescent", C529&lt;=44, "Young Adult", C529&lt;=64, "Middle Aged", C529&lt;=84,"Young Old", C529&gt;=85,"Oldest Old")</f>
        <v>Young Old</v>
      </c>
      <c r="E529" t="s">
        <v>12</v>
      </c>
      <c r="F529" s="4">
        <v>45908</v>
      </c>
      <c r="G529" s="4">
        <v>45913</v>
      </c>
      <c r="H529" s="7">
        <f t="shared" si="24"/>
        <v>5</v>
      </c>
      <c r="I529" t="s">
        <v>31</v>
      </c>
      <c r="J529" t="s">
        <v>32</v>
      </c>
      <c r="K529" s="2">
        <v>4915.01</v>
      </c>
      <c r="L529" s="9">
        <v>0.9</v>
      </c>
      <c r="M529" s="15">
        <f t="shared" si="25"/>
        <v>4423.509</v>
      </c>
      <c r="N529" s="15">
        <f t="shared" si="26"/>
        <v>491.5010000000002</v>
      </c>
      <c r="O529" t="s">
        <v>15</v>
      </c>
    </row>
    <row r="530" spans="1:15" hidden="1" x14ac:dyDescent="0.35">
      <c r="A530" t="s">
        <v>1015</v>
      </c>
      <c r="B530" t="s">
        <v>1016</v>
      </c>
      <c r="C530">
        <v>24</v>
      </c>
      <c r="D530" s="8" t="str" cm="1">
        <f t="array" ref="D530">_xlfn.IFS(C530&lt;=2, "Infant", C530&lt;=11, "Child", C530&lt;=17, "Adolescent", C530&lt;=44, "Young Adult", C530&lt;=64, "Middle Aged", C530&lt;=84,"Young Old", C530&gt;=85,"Oldest Old")</f>
        <v>Young Adult</v>
      </c>
      <c r="E530" t="s">
        <v>18</v>
      </c>
      <c r="F530" s="4">
        <v>45451</v>
      </c>
      <c r="G530" s="4">
        <v>45452</v>
      </c>
      <c r="H530" s="7">
        <f t="shared" si="24"/>
        <v>1</v>
      </c>
      <c r="I530" t="s">
        <v>31</v>
      </c>
      <c r="J530" t="s">
        <v>114</v>
      </c>
      <c r="K530" s="2">
        <v>879.73</v>
      </c>
      <c r="L530" s="9">
        <v>0.8</v>
      </c>
      <c r="M530" s="15">
        <f t="shared" si="25"/>
        <v>703.78400000000011</v>
      </c>
      <c r="N530" s="15">
        <f t="shared" si="26"/>
        <v>175.94599999999991</v>
      </c>
      <c r="O530" t="s">
        <v>15</v>
      </c>
    </row>
    <row r="531" spans="1:15" hidden="1" x14ac:dyDescent="0.35">
      <c r="A531" t="s">
        <v>1017</v>
      </c>
      <c r="B531" t="s">
        <v>1018</v>
      </c>
      <c r="C531">
        <v>78</v>
      </c>
      <c r="D531" s="8" t="str" cm="1">
        <f t="array" ref="D531">_xlfn.IFS(C531&lt;=2, "Infant", C531&lt;=11, "Child", C531&lt;=17, "Adolescent", C531&lt;=44, "Young Adult", C531&lt;=64, "Middle Aged", C531&lt;=84,"Young Old", C531&gt;=85,"Oldest Old")</f>
        <v>Young Old</v>
      </c>
      <c r="E531" t="s">
        <v>18</v>
      </c>
      <c r="F531" s="4">
        <v>45496</v>
      </c>
      <c r="G531" s="4">
        <v>45499</v>
      </c>
      <c r="H531" s="7">
        <f t="shared" si="24"/>
        <v>3</v>
      </c>
      <c r="I531" t="s">
        <v>23</v>
      </c>
      <c r="J531" t="s">
        <v>28</v>
      </c>
      <c r="K531" s="2">
        <v>4924.09</v>
      </c>
      <c r="L531" s="9">
        <v>0.7</v>
      </c>
      <c r="M531" s="15">
        <f t="shared" si="25"/>
        <v>3446.8629999999998</v>
      </c>
      <c r="N531" s="15">
        <f t="shared" si="26"/>
        <v>1477.2270000000003</v>
      </c>
      <c r="O531" t="s">
        <v>15</v>
      </c>
    </row>
    <row r="532" spans="1:15" hidden="1" x14ac:dyDescent="0.35">
      <c r="A532" t="s">
        <v>1019</v>
      </c>
      <c r="B532" t="s">
        <v>746</v>
      </c>
      <c r="C532">
        <v>34</v>
      </c>
      <c r="D532" s="8" t="str" cm="1">
        <f t="array" ref="D532">_xlfn.IFS(C532&lt;=2, "Infant", C532&lt;=11, "Child", C532&lt;=17, "Adolescent", C532&lt;=44, "Young Adult", C532&lt;=64, "Middle Aged", C532&lt;=84,"Young Old", C532&gt;=85,"Oldest Old")</f>
        <v>Young Adult</v>
      </c>
      <c r="E532" t="s">
        <v>12</v>
      </c>
      <c r="F532" s="4">
        <v>45963</v>
      </c>
      <c r="G532" s="4">
        <v>45973</v>
      </c>
      <c r="H532" s="7">
        <f t="shared" si="24"/>
        <v>10</v>
      </c>
      <c r="I532" t="s">
        <v>60</v>
      </c>
      <c r="J532" t="s">
        <v>61</v>
      </c>
      <c r="K532" s="2">
        <v>13077.22</v>
      </c>
      <c r="L532" s="9">
        <v>0.6</v>
      </c>
      <c r="M532" s="15">
        <f t="shared" si="25"/>
        <v>7846.3319999999994</v>
      </c>
      <c r="N532" s="15">
        <f t="shared" si="26"/>
        <v>5230.8879999999999</v>
      </c>
      <c r="O532" t="s">
        <v>25</v>
      </c>
    </row>
    <row r="533" spans="1:15" hidden="1" x14ac:dyDescent="0.35">
      <c r="A533" t="s">
        <v>1020</v>
      </c>
      <c r="B533" t="s">
        <v>490</v>
      </c>
      <c r="C533">
        <v>45</v>
      </c>
      <c r="D533" s="8" t="str" cm="1">
        <f t="array" ref="D533">_xlfn.IFS(C533&lt;=2, "Infant", C533&lt;=11, "Child", C533&lt;=17, "Adolescent", C533&lt;=44, "Young Adult", C533&lt;=64, "Middle Aged", C533&lt;=84,"Young Old", C533&gt;=85,"Oldest Old")</f>
        <v>Middle Aged</v>
      </c>
      <c r="E533" t="s">
        <v>12</v>
      </c>
      <c r="F533" s="4">
        <v>45941</v>
      </c>
      <c r="G533" s="4">
        <v>45948</v>
      </c>
      <c r="H533" s="7">
        <f t="shared" si="24"/>
        <v>7</v>
      </c>
      <c r="I533" t="s">
        <v>31</v>
      </c>
      <c r="J533" t="s">
        <v>44</v>
      </c>
      <c r="K533" s="2">
        <v>5438.75</v>
      </c>
      <c r="L533" s="9">
        <v>0.8</v>
      </c>
      <c r="M533" s="15">
        <f t="shared" si="25"/>
        <v>4351</v>
      </c>
      <c r="N533" s="15">
        <f t="shared" si="26"/>
        <v>1087.75</v>
      </c>
      <c r="O533" t="s">
        <v>15</v>
      </c>
    </row>
    <row r="534" spans="1:15" hidden="1" x14ac:dyDescent="0.35">
      <c r="A534" t="s">
        <v>1021</v>
      </c>
      <c r="B534" t="s">
        <v>1022</v>
      </c>
      <c r="C534">
        <v>59</v>
      </c>
      <c r="D534" s="8" t="str" cm="1">
        <f t="array" ref="D534">_xlfn.IFS(C534&lt;=2, "Infant", C534&lt;=11, "Child", C534&lt;=17, "Adolescent", C534&lt;=44, "Young Adult", C534&lt;=64, "Middle Aged", C534&lt;=84,"Young Old", C534&gt;=85,"Oldest Old")</f>
        <v>Middle Aged</v>
      </c>
      <c r="E534" t="s">
        <v>18</v>
      </c>
      <c r="F534" s="4">
        <v>45592</v>
      </c>
      <c r="G534" s="4">
        <v>45600</v>
      </c>
      <c r="H534" s="7">
        <f t="shared" si="24"/>
        <v>8</v>
      </c>
      <c r="I534" t="s">
        <v>13</v>
      </c>
      <c r="J534" t="s">
        <v>19</v>
      </c>
      <c r="K534" s="2">
        <v>23659.1</v>
      </c>
      <c r="L534" s="9">
        <v>0.9</v>
      </c>
      <c r="M534" s="15">
        <f t="shared" si="25"/>
        <v>21293.19</v>
      </c>
      <c r="N534" s="15">
        <f t="shared" si="26"/>
        <v>2365.91</v>
      </c>
      <c r="O534" t="s">
        <v>20</v>
      </c>
    </row>
    <row r="535" spans="1:15" hidden="1" x14ac:dyDescent="0.35">
      <c r="A535" t="s">
        <v>1023</v>
      </c>
      <c r="B535" t="s">
        <v>1024</v>
      </c>
      <c r="C535">
        <v>80</v>
      </c>
      <c r="D535" s="8" t="str" cm="1">
        <f t="array" ref="D535">_xlfn.IFS(C535&lt;=2, "Infant", C535&lt;=11, "Child", C535&lt;=17, "Adolescent", C535&lt;=44, "Young Adult", C535&lt;=64, "Middle Aged", C535&lt;=84,"Young Old", C535&gt;=85,"Oldest Old")</f>
        <v>Young Old</v>
      </c>
      <c r="E535" t="s">
        <v>12</v>
      </c>
      <c r="F535" s="4">
        <v>45490</v>
      </c>
      <c r="G535" s="4">
        <v>45495</v>
      </c>
      <c r="H535" s="7">
        <f t="shared" si="24"/>
        <v>5</v>
      </c>
      <c r="I535" t="s">
        <v>13</v>
      </c>
      <c r="J535" t="s">
        <v>165</v>
      </c>
      <c r="K535" s="2">
        <v>10323.56</v>
      </c>
      <c r="L535" s="9">
        <v>0.7</v>
      </c>
      <c r="M535" s="15">
        <f t="shared" si="25"/>
        <v>7226.4919999999993</v>
      </c>
      <c r="N535" s="15">
        <f t="shared" si="26"/>
        <v>3097.0680000000002</v>
      </c>
      <c r="O535" t="s">
        <v>15</v>
      </c>
    </row>
    <row r="536" spans="1:15" hidden="1" x14ac:dyDescent="0.35">
      <c r="A536" t="s">
        <v>1025</v>
      </c>
      <c r="B536" t="s">
        <v>1026</v>
      </c>
      <c r="C536">
        <v>53</v>
      </c>
      <c r="D536" s="8" t="str" cm="1">
        <f t="array" ref="D536">_xlfn.IFS(C536&lt;=2, "Infant", C536&lt;=11, "Child", C536&lt;=17, "Adolescent", C536&lt;=44, "Young Adult", C536&lt;=64, "Middle Aged", C536&lt;=84,"Young Old", C536&gt;=85,"Oldest Old")</f>
        <v>Middle Aged</v>
      </c>
      <c r="E536" t="s">
        <v>12</v>
      </c>
      <c r="F536" s="4">
        <v>45643</v>
      </c>
      <c r="G536" s="4">
        <v>45652</v>
      </c>
      <c r="H536" s="7">
        <f t="shared" si="24"/>
        <v>9</v>
      </c>
      <c r="I536" t="s">
        <v>60</v>
      </c>
      <c r="J536" t="s">
        <v>142</v>
      </c>
      <c r="K536" s="2">
        <v>23629.360000000001</v>
      </c>
      <c r="L536" s="9">
        <v>0.9</v>
      </c>
      <c r="M536" s="15">
        <f t="shared" si="25"/>
        <v>21266.424000000003</v>
      </c>
      <c r="N536" s="15">
        <f t="shared" si="26"/>
        <v>2362.9359999999979</v>
      </c>
      <c r="O536" t="s">
        <v>15</v>
      </c>
    </row>
    <row r="537" spans="1:15" hidden="1" x14ac:dyDescent="0.35">
      <c r="A537" t="s">
        <v>1027</v>
      </c>
      <c r="B537" t="s">
        <v>1028</v>
      </c>
      <c r="C537">
        <v>65</v>
      </c>
      <c r="D537" s="8" t="str" cm="1">
        <f t="array" ref="D537">_xlfn.IFS(C537&lt;=2, "Infant", C537&lt;=11, "Child", C537&lt;=17, "Adolescent", C537&lt;=44, "Young Adult", C537&lt;=64, "Middle Aged", C537&lt;=84,"Young Old", C537&gt;=85,"Oldest Old")</f>
        <v>Young Old</v>
      </c>
      <c r="E537" t="s">
        <v>12</v>
      </c>
      <c r="F537" s="4">
        <v>45359</v>
      </c>
      <c r="G537" s="4">
        <v>45365</v>
      </c>
      <c r="H537" s="7">
        <f t="shared" si="24"/>
        <v>6</v>
      </c>
      <c r="I537" t="s">
        <v>31</v>
      </c>
      <c r="J537" t="s">
        <v>114</v>
      </c>
      <c r="K537" s="2">
        <v>7474.49</v>
      </c>
      <c r="L537" s="9">
        <v>0.7</v>
      </c>
      <c r="M537" s="15">
        <f t="shared" si="25"/>
        <v>5232.1429999999991</v>
      </c>
      <c r="N537" s="15">
        <f t="shared" si="26"/>
        <v>2242.3470000000007</v>
      </c>
      <c r="O537" t="s">
        <v>15</v>
      </c>
    </row>
    <row r="538" spans="1:15" hidden="1" x14ac:dyDescent="0.35">
      <c r="A538" t="s">
        <v>1029</v>
      </c>
      <c r="B538" t="s">
        <v>1030</v>
      </c>
      <c r="C538">
        <v>46</v>
      </c>
      <c r="D538" s="8" t="str" cm="1">
        <f t="array" ref="D538">_xlfn.IFS(C538&lt;=2, "Infant", C538&lt;=11, "Child", C538&lt;=17, "Adolescent", C538&lt;=44, "Young Adult", C538&lt;=64, "Middle Aged", C538&lt;=84,"Young Old", C538&gt;=85,"Oldest Old")</f>
        <v>Middle Aged</v>
      </c>
      <c r="E538" t="s">
        <v>18</v>
      </c>
      <c r="F538" s="4">
        <v>45804</v>
      </c>
      <c r="G538" s="4">
        <v>45807</v>
      </c>
      <c r="H538" s="7">
        <f t="shared" si="24"/>
        <v>3</v>
      </c>
      <c r="I538" t="s">
        <v>23</v>
      </c>
      <c r="J538" t="s">
        <v>221</v>
      </c>
      <c r="K538" s="2">
        <v>6062.52</v>
      </c>
      <c r="L538" s="9">
        <v>0.9</v>
      </c>
      <c r="M538" s="15">
        <f t="shared" si="25"/>
        <v>5456.2680000000009</v>
      </c>
      <c r="N538" s="15">
        <f t="shared" si="26"/>
        <v>606.2519999999995</v>
      </c>
      <c r="O538" t="s">
        <v>15</v>
      </c>
    </row>
    <row r="539" spans="1:15" hidden="1" x14ac:dyDescent="0.35">
      <c r="A539" t="s">
        <v>1031</v>
      </c>
      <c r="B539" t="s">
        <v>1032</v>
      </c>
      <c r="C539">
        <v>19</v>
      </c>
      <c r="D539" s="8" t="str" cm="1">
        <f t="array" ref="D539">_xlfn.IFS(C539&lt;=2, "Infant", C539&lt;=11, "Child", C539&lt;=17, "Adolescent", C539&lt;=44, "Young Adult", C539&lt;=64, "Middle Aged", C539&lt;=84,"Young Old", C539&gt;=85,"Oldest Old")</f>
        <v>Young Adult</v>
      </c>
      <c r="E539" t="s">
        <v>18</v>
      </c>
      <c r="F539" s="4">
        <v>45472</v>
      </c>
      <c r="G539" s="4">
        <v>45474</v>
      </c>
      <c r="H539" s="7">
        <f t="shared" si="24"/>
        <v>2</v>
      </c>
      <c r="I539" t="s">
        <v>23</v>
      </c>
      <c r="J539" t="s">
        <v>82</v>
      </c>
      <c r="K539" s="2">
        <v>4748.93</v>
      </c>
      <c r="L539" s="9">
        <v>0</v>
      </c>
      <c r="M539" s="15">
        <f t="shared" si="25"/>
        <v>0</v>
      </c>
      <c r="N539" s="15">
        <f t="shared" si="26"/>
        <v>4748.93</v>
      </c>
      <c r="O539" t="s">
        <v>15</v>
      </c>
    </row>
    <row r="540" spans="1:15" hidden="1" x14ac:dyDescent="0.35">
      <c r="A540" t="s">
        <v>1033</v>
      </c>
      <c r="B540" t="s">
        <v>1034</v>
      </c>
      <c r="C540">
        <v>12</v>
      </c>
      <c r="D540" s="8" t="str" cm="1">
        <f t="array" ref="D540">_xlfn.IFS(C540&lt;=2, "Infant", C540&lt;=11, "Child", C540&lt;=17, "Adolescent", C540&lt;=44, "Young Adult", C540&lt;=64, "Middle Aged", C540&lt;=84,"Young Old", C540&gt;=85,"Oldest Old")</f>
        <v>Adolescent</v>
      </c>
      <c r="E540" t="s">
        <v>12</v>
      </c>
      <c r="F540" s="4">
        <v>45787</v>
      </c>
      <c r="G540" s="4">
        <v>45791</v>
      </c>
      <c r="H540" s="7">
        <f t="shared" si="24"/>
        <v>4</v>
      </c>
      <c r="I540" t="s">
        <v>49</v>
      </c>
      <c r="J540" t="s">
        <v>117</v>
      </c>
      <c r="K540" s="2">
        <v>5993.64</v>
      </c>
      <c r="L540" s="9">
        <v>0</v>
      </c>
      <c r="M540" s="15">
        <f t="shared" si="25"/>
        <v>0</v>
      </c>
      <c r="N540" s="15">
        <f t="shared" si="26"/>
        <v>5993.64</v>
      </c>
      <c r="O540" t="s">
        <v>25</v>
      </c>
    </row>
    <row r="541" spans="1:15" hidden="1" x14ac:dyDescent="0.35">
      <c r="A541" t="s">
        <v>1035</v>
      </c>
      <c r="B541" t="s">
        <v>1036</v>
      </c>
      <c r="C541">
        <v>49</v>
      </c>
      <c r="D541" s="8" t="str" cm="1">
        <f t="array" ref="D541">_xlfn.IFS(C541&lt;=2, "Infant", C541&lt;=11, "Child", C541&lt;=17, "Adolescent", C541&lt;=44, "Young Adult", C541&lt;=64, "Middle Aged", C541&lt;=84,"Young Old", C541&gt;=85,"Oldest Old")</f>
        <v>Middle Aged</v>
      </c>
      <c r="E541" t="s">
        <v>12</v>
      </c>
      <c r="F541" s="4">
        <v>45981</v>
      </c>
      <c r="G541" s="4">
        <v>45983</v>
      </c>
      <c r="H541" s="7">
        <f t="shared" si="24"/>
        <v>2</v>
      </c>
      <c r="I541" t="s">
        <v>31</v>
      </c>
      <c r="J541" t="s">
        <v>44</v>
      </c>
      <c r="K541" s="2">
        <v>1129.2</v>
      </c>
      <c r="L541" s="9">
        <v>0.8</v>
      </c>
      <c r="M541" s="15">
        <f t="shared" si="25"/>
        <v>903.36000000000013</v>
      </c>
      <c r="N541" s="15">
        <f t="shared" si="26"/>
        <v>225.83999999999992</v>
      </c>
      <c r="O541" t="s">
        <v>15</v>
      </c>
    </row>
    <row r="542" spans="1:15" hidden="1" x14ac:dyDescent="0.35">
      <c r="A542" t="s">
        <v>1037</v>
      </c>
      <c r="B542" t="s">
        <v>626</v>
      </c>
      <c r="C542">
        <v>47</v>
      </c>
      <c r="D542" s="8" t="str" cm="1">
        <f t="array" ref="D542">_xlfn.IFS(C542&lt;=2, "Infant", C542&lt;=11, "Child", C542&lt;=17, "Adolescent", C542&lt;=44, "Young Adult", C542&lt;=64, "Middle Aged", C542&lt;=84,"Young Old", C542&gt;=85,"Oldest Old")</f>
        <v>Middle Aged</v>
      </c>
      <c r="E542" t="s">
        <v>18</v>
      </c>
      <c r="F542" s="4">
        <v>45417</v>
      </c>
      <c r="G542" s="4">
        <v>45420</v>
      </c>
      <c r="H542" s="7">
        <f t="shared" si="24"/>
        <v>3</v>
      </c>
      <c r="I542" t="s">
        <v>23</v>
      </c>
      <c r="J542" t="s">
        <v>204</v>
      </c>
      <c r="K542" s="2">
        <v>2925.89</v>
      </c>
      <c r="L542" s="9">
        <v>0.6</v>
      </c>
      <c r="M542" s="15">
        <f t="shared" si="25"/>
        <v>1755.5339999999999</v>
      </c>
      <c r="N542" s="15">
        <f t="shared" si="26"/>
        <v>1170.356</v>
      </c>
      <c r="O542" t="s">
        <v>25</v>
      </c>
    </row>
    <row r="543" spans="1:15" hidden="1" x14ac:dyDescent="0.35">
      <c r="A543" t="s">
        <v>1038</v>
      </c>
      <c r="B543" t="s">
        <v>587</v>
      </c>
      <c r="C543">
        <v>60</v>
      </c>
      <c r="D543" s="8" t="str" cm="1">
        <f t="array" ref="D543">_xlfn.IFS(C543&lt;=2, "Infant", C543&lt;=11, "Child", C543&lt;=17, "Adolescent", C543&lt;=44, "Young Adult", C543&lt;=64, "Middle Aged", C543&lt;=84,"Young Old", C543&gt;=85,"Oldest Old")</f>
        <v>Middle Aged</v>
      </c>
      <c r="E543" t="s">
        <v>18</v>
      </c>
      <c r="F543" s="4">
        <v>45565</v>
      </c>
      <c r="G543" s="4">
        <v>45567</v>
      </c>
      <c r="H543" s="7">
        <f t="shared" si="24"/>
        <v>2</v>
      </c>
      <c r="I543" t="s">
        <v>23</v>
      </c>
      <c r="J543" t="s">
        <v>204</v>
      </c>
      <c r="K543" s="2">
        <v>3791.25</v>
      </c>
      <c r="L543" s="9">
        <v>0.6</v>
      </c>
      <c r="M543" s="15">
        <f t="shared" si="25"/>
        <v>2274.75</v>
      </c>
      <c r="N543" s="15">
        <f t="shared" si="26"/>
        <v>1516.5</v>
      </c>
      <c r="O543" t="s">
        <v>20</v>
      </c>
    </row>
    <row r="544" spans="1:15" hidden="1" x14ac:dyDescent="0.35">
      <c r="A544" t="s">
        <v>1039</v>
      </c>
      <c r="B544" t="s">
        <v>1040</v>
      </c>
      <c r="C544">
        <v>39</v>
      </c>
      <c r="D544" s="8" t="str" cm="1">
        <f t="array" ref="D544">_xlfn.IFS(C544&lt;=2, "Infant", C544&lt;=11, "Child", C544&lt;=17, "Adolescent", C544&lt;=44, "Young Adult", C544&lt;=64, "Middle Aged", C544&lt;=84,"Young Old", C544&gt;=85,"Oldest Old")</f>
        <v>Young Adult</v>
      </c>
      <c r="E544" t="s">
        <v>18</v>
      </c>
      <c r="F544" s="4">
        <v>45466</v>
      </c>
      <c r="G544" s="4">
        <v>45473</v>
      </c>
      <c r="H544" s="7">
        <f t="shared" si="24"/>
        <v>7</v>
      </c>
      <c r="I544" t="s">
        <v>60</v>
      </c>
      <c r="J544" t="s">
        <v>142</v>
      </c>
      <c r="K544" s="2">
        <v>17536.5</v>
      </c>
      <c r="L544" s="9">
        <v>0.9</v>
      </c>
      <c r="M544" s="15">
        <f t="shared" si="25"/>
        <v>15782.85</v>
      </c>
      <c r="N544" s="15">
        <f t="shared" si="26"/>
        <v>1753.6499999999996</v>
      </c>
      <c r="O544" t="s">
        <v>15</v>
      </c>
    </row>
    <row r="545" spans="1:15" x14ac:dyDescent="0.35">
      <c r="A545" t="s">
        <v>1041</v>
      </c>
      <c r="B545" t="s">
        <v>300</v>
      </c>
      <c r="C545">
        <v>35</v>
      </c>
      <c r="D545" s="8" t="str" cm="1">
        <f t="array" ref="D545">_xlfn.IFS(C545&lt;=2, "Infant", C545&lt;=11, "Child", C545&lt;=17, "Adolescent", C545&lt;=44, "Young Adult", C545&lt;=64, "Middle Aged", C545&lt;=84,"Young Old", C545&gt;=85,"Oldest Old")</f>
        <v>Young Adult</v>
      </c>
      <c r="E545" t="s">
        <v>18</v>
      </c>
      <c r="F545" s="4">
        <v>45687</v>
      </c>
      <c r="G545" s="4">
        <v>45691</v>
      </c>
      <c r="H545" s="7">
        <f t="shared" si="24"/>
        <v>4</v>
      </c>
      <c r="I545" t="s">
        <v>31</v>
      </c>
      <c r="J545" t="s">
        <v>32</v>
      </c>
      <c r="K545" s="2">
        <v>2285.7199999999998</v>
      </c>
      <c r="L545" s="9">
        <v>0.9</v>
      </c>
      <c r="M545" s="15">
        <f t="shared" si="25"/>
        <v>2057.1479999999997</v>
      </c>
      <c r="N545" s="15">
        <f t="shared" si="26"/>
        <v>228.57200000000012</v>
      </c>
      <c r="O545" t="s">
        <v>15</v>
      </c>
    </row>
    <row r="546" spans="1:15" hidden="1" x14ac:dyDescent="0.35">
      <c r="A546" t="s">
        <v>1042</v>
      </c>
      <c r="B546" t="s">
        <v>1043</v>
      </c>
      <c r="C546">
        <v>37</v>
      </c>
      <c r="D546" s="8" t="str" cm="1">
        <f t="array" ref="D546">_xlfn.IFS(C546&lt;=2, "Infant", C546&lt;=11, "Child", C546&lt;=17, "Adolescent", C546&lt;=44, "Young Adult", C546&lt;=64, "Middle Aged", C546&lt;=84,"Young Old", C546&gt;=85,"Oldest Old")</f>
        <v>Young Adult</v>
      </c>
      <c r="E546" t="s">
        <v>18</v>
      </c>
      <c r="F546" s="4">
        <v>45304</v>
      </c>
      <c r="G546" s="4">
        <v>45313</v>
      </c>
      <c r="H546" s="7">
        <f t="shared" si="24"/>
        <v>9</v>
      </c>
      <c r="I546" t="s">
        <v>60</v>
      </c>
      <c r="J546" t="s">
        <v>97</v>
      </c>
      <c r="K546" s="2">
        <v>11741.84</v>
      </c>
      <c r="L546" s="9">
        <v>0.8</v>
      </c>
      <c r="M546" s="15">
        <f t="shared" si="25"/>
        <v>9393.4719999999998</v>
      </c>
      <c r="N546" s="15">
        <f t="shared" si="26"/>
        <v>2348.3680000000004</v>
      </c>
      <c r="O546" t="s">
        <v>15</v>
      </c>
    </row>
    <row r="547" spans="1:15" hidden="1" x14ac:dyDescent="0.35">
      <c r="A547" t="s">
        <v>1044</v>
      </c>
      <c r="B547" t="s">
        <v>1045</v>
      </c>
      <c r="C547">
        <v>51</v>
      </c>
      <c r="D547" s="8" t="str" cm="1">
        <f t="array" ref="D547">_xlfn.IFS(C547&lt;=2, "Infant", C547&lt;=11, "Child", C547&lt;=17, "Adolescent", C547&lt;=44, "Young Adult", C547&lt;=64, "Middle Aged", C547&lt;=84,"Young Old", C547&gt;=85,"Oldest Old")</f>
        <v>Middle Aged</v>
      </c>
      <c r="E547" t="s">
        <v>18</v>
      </c>
      <c r="F547" s="4">
        <v>45943</v>
      </c>
      <c r="G547" s="4">
        <v>45951</v>
      </c>
      <c r="H547" s="7">
        <f t="shared" si="24"/>
        <v>8</v>
      </c>
      <c r="I547" t="s">
        <v>13</v>
      </c>
      <c r="J547" t="s">
        <v>38</v>
      </c>
      <c r="K547" s="2">
        <v>17157.7</v>
      </c>
      <c r="L547" s="9">
        <v>0.8</v>
      </c>
      <c r="M547" s="15">
        <f t="shared" si="25"/>
        <v>13726.160000000002</v>
      </c>
      <c r="N547" s="15">
        <f t="shared" si="26"/>
        <v>3431.5399999999991</v>
      </c>
      <c r="O547" t="s">
        <v>20</v>
      </c>
    </row>
    <row r="548" spans="1:15" hidden="1" x14ac:dyDescent="0.35">
      <c r="A548" t="s">
        <v>1046</v>
      </c>
      <c r="B548" t="s">
        <v>1047</v>
      </c>
      <c r="C548">
        <v>69</v>
      </c>
      <c r="D548" s="8" t="str" cm="1">
        <f t="array" ref="D548">_xlfn.IFS(C548&lt;=2, "Infant", C548&lt;=11, "Child", C548&lt;=17, "Adolescent", C548&lt;=44, "Young Adult", C548&lt;=64, "Middle Aged", C548&lt;=84,"Young Old", C548&gt;=85,"Oldest Old")</f>
        <v>Young Old</v>
      </c>
      <c r="E548" t="s">
        <v>18</v>
      </c>
      <c r="F548" s="4">
        <v>45793</v>
      </c>
      <c r="G548" s="4">
        <v>45794</v>
      </c>
      <c r="H548" s="7">
        <f t="shared" si="24"/>
        <v>1</v>
      </c>
      <c r="I548" t="s">
        <v>31</v>
      </c>
      <c r="J548" t="s">
        <v>234</v>
      </c>
      <c r="K548" s="2">
        <v>1202.17</v>
      </c>
      <c r="L548" s="9">
        <v>0</v>
      </c>
      <c r="M548" s="15">
        <f t="shared" si="25"/>
        <v>0</v>
      </c>
      <c r="N548" s="15">
        <f t="shared" si="26"/>
        <v>1202.17</v>
      </c>
      <c r="O548" t="s">
        <v>25</v>
      </c>
    </row>
    <row r="549" spans="1:15" hidden="1" x14ac:dyDescent="0.35">
      <c r="A549" t="s">
        <v>1048</v>
      </c>
      <c r="B549" t="s">
        <v>1049</v>
      </c>
      <c r="C549">
        <v>10</v>
      </c>
      <c r="D549" s="8" t="str" cm="1">
        <f t="array" ref="D549">_xlfn.IFS(C549&lt;=2, "Infant", C549&lt;=11, "Child", C549&lt;=17, "Adolescent", C549&lt;=44, "Young Adult", C549&lt;=64, "Middle Aged", C549&lt;=84,"Young Old", C549&gt;=85,"Oldest Old")</f>
        <v>Child</v>
      </c>
      <c r="E549" t="s">
        <v>12</v>
      </c>
      <c r="F549" s="4">
        <v>45802</v>
      </c>
      <c r="G549" s="4">
        <v>45803</v>
      </c>
      <c r="H549" s="7">
        <f t="shared" si="24"/>
        <v>1</v>
      </c>
      <c r="I549" t="s">
        <v>49</v>
      </c>
      <c r="J549" t="s">
        <v>50</v>
      </c>
      <c r="K549" s="2">
        <v>963.75</v>
      </c>
      <c r="L549" s="9">
        <v>1</v>
      </c>
      <c r="M549" s="15">
        <f t="shared" si="25"/>
        <v>963.75</v>
      </c>
      <c r="N549" s="15">
        <f t="shared" si="26"/>
        <v>0</v>
      </c>
      <c r="O549" t="s">
        <v>15</v>
      </c>
    </row>
    <row r="550" spans="1:15" hidden="1" x14ac:dyDescent="0.35">
      <c r="A550" t="s">
        <v>1050</v>
      </c>
      <c r="B550" t="s">
        <v>1051</v>
      </c>
      <c r="C550">
        <v>5</v>
      </c>
      <c r="D550" s="8" t="str" cm="1">
        <f t="array" ref="D550">_xlfn.IFS(C550&lt;=2, "Infant", C550&lt;=11, "Child", C550&lt;=17, "Adolescent", C550&lt;=44, "Young Adult", C550&lt;=64, "Middle Aged", C550&lt;=84,"Young Old", C550&gt;=85,"Oldest Old")</f>
        <v>Child</v>
      </c>
      <c r="E550" t="s">
        <v>12</v>
      </c>
      <c r="F550" s="4">
        <v>45841</v>
      </c>
      <c r="G550" s="4">
        <v>45842</v>
      </c>
      <c r="H550" s="7">
        <f t="shared" si="24"/>
        <v>1</v>
      </c>
      <c r="I550" t="s">
        <v>49</v>
      </c>
      <c r="J550" t="s">
        <v>50</v>
      </c>
      <c r="K550" s="2">
        <v>634.45000000000005</v>
      </c>
      <c r="L550" s="9">
        <v>0.8</v>
      </c>
      <c r="M550" s="15">
        <f t="shared" si="25"/>
        <v>507.56000000000006</v>
      </c>
      <c r="N550" s="15">
        <f t="shared" si="26"/>
        <v>126.88999999999999</v>
      </c>
      <c r="O550" t="s">
        <v>15</v>
      </c>
    </row>
    <row r="551" spans="1:15" hidden="1" x14ac:dyDescent="0.35">
      <c r="A551" t="s">
        <v>1052</v>
      </c>
      <c r="B551" t="s">
        <v>606</v>
      </c>
      <c r="C551">
        <v>67</v>
      </c>
      <c r="D551" s="8" t="str" cm="1">
        <f t="array" ref="D551">_xlfn.IFS(C551&lt;=2, "Infant", C551&lt;=11, "Child", C551&lt;=17, "Adolescent", C551&lt;=44, "Young Adult", C551&lt;=64, "Middle Aged", C551&lt;=84,"Young Old", C551&gt;=85,"Oldest Old")</f>
        <v>Young Old</v>
      </c>
      <c r="E551" t="s">
        <v>12</v>
      </c>
      <c r="F551" s="4">
        <v>45827</v>
      </c>
      <c r="G551" s="4">
        <v>45839</v>
      </c>
      <c r="H551" s="7">
        <f t="shared" si="24"/>
        <v>12</v>
      </c>
      <c r="I551" t="s">
        <v>60</v>
      </c>
      <c r="J551" t="s">
        <v>97</v>
      </c>
      <c r="K551" s="2">
        <v>15003.09</v>
      </c>
      <c r="L551" s="9">
        <v>0.6</v>
      </c>
      <c r="M551" s="15">
        <f t="shared" si="25"/>
        <v>9001.8539999999994</v>
      </c>
      <c r="N551" s="15">
        <f t="shared" si="26"/>
        <v>6001.2360000000008</v>
      </c>
      <c r="O551" t="s">
        <v>20</v>
      </c>
    </row>
    <row r="552" spans="1:15" hidden="1" x14ac:dyDescent="0.35">
      <c r="A552" t="s">
        <v>1053</v>
      </c>
      <c r="B552" t="s">
        <v>1054</v>
      </c>
      <c r="C552">
        <v>33</v>
      </c>
      <c r="D552" s="8" t="str" cm="1">
        <f t="array" ref="D552">_xlfn.IFS(C552&lt;=2, "Infant", C552&lt;=11, "Child", C552&lt;=17, "Adolescent", C552&lt;=44, "Young Adult", C552&lt;=64, "Middle Aged", C552&lt;=84,"Young Old", C552&gt;=85,"Oldest Old")</f>
        <v>Young Adult</v>
      </c>
      <c r="E552" t="s">
        <v>18</v>
      </c>
      <c r="F552" s="4">
        <v>45520</v>
      </c>
      <c r="G552" s="4">
        <v>45522</v>
      </c>
      <c r="H552" s="7">
        <f t="shared" si="24"/>
        <v>2</v>
      </c>
      <c r="I552" t="s">
        <v>23</v>
      </c>
      <c r="J552" t="s">
        <v>41</v>
      </c>
      <c r="K552" s="2">
        <v>1936.8</v>
      </c>
      <c r="L552" s="9">
        <v>0.8</v>
      </c>
      <c r="M552" s="15">
        <f t="shared" si="25"/>
        <v>1549.44</v>
      </c>
      <c r="N552" s="15">
        <f t="shared" si="26"/>
        <v>387.3599999999999</v>
      </c>
      <c r="O552" t="s">
        <v>15</v>
      </c>
    </row>
    <row r="553" spans="1:15" hidden="1" x14ac:dyDescent="0.35">
      <c r="A553" t="s">
        <v>1055</v>
      </c>
      <c r="B553" t="s">
        <v>1032</v>
      </c>
      <c r="C553">
        <v>37</v>
      </c>
      <c r="D553" s="8" t="str" cm="1">
        <f t="array" ref="D553">_xlfn.IFS(C553&lt;=2, "Infant", C553&lt;=11, "Child", C553&lt;=17, "Adolescent", C553&lt;=44, "Young Adult", C553&lt;=64, "Middle Aged", C553&lt;=84,"Young Old", C553&gt;=85,"Oldest Old")</f>
        <v>Young Adult</v>
      </c>
      <c r="E553" t="s">
        <v>18</v>
      </c>
      <c r="F553" s="4">
        <v>45736</v>
      </c>
      <c r="G553" s="4">
        <v>45739</v>
      </c>
      <c r="H553" s="7">
        <f t="shared" si="24"/>
        <v>3</v>
      </c>
      <c r="I553" t="s">
        <v>23</v>
      </c>
      <c r="J553" t="s">
        <v>24</v>
      </c>
      <c r="K553" s="2">
        <v>6193.25</v>
      </c>
      <c r="L553" s="9">
        <v>0.6</v>
      </c>
      <c r="M553" s="15">
        <f t="shared" si="25"/>
        <v>3715.95</v>
      </c>
      <c r="N553" s="15">
        <f t="shared" si="26"/>
        <v>2477.3000000000002</v>
      </c>
      <c r="O553" t="s">
        <v>20</v>
      </c>
    </row>
    <row r="554" spans="1:15" hidden="1" x14ac:dyDescent="0.35">
      <c r="A554" t="s">
        <v>1056</v>
      </c>
      <c r="B554" t="s">
        <v>1057</v>
      </c>
      <c r="C554">
        <v>72</v>
      </c>
      <c r="D554" s="8" t="str" cm="1">
        <f t="array" ref="D554">_xlfn.IFS(C554&lt;=2, "Infant", C554&lt;=11, "Child", C554&lt;=17, "Adolescent", C554&lt;=44, "Young Adult", C554&lt;=64, "Middle Aged", C554&lt;=84,"Young Old", C554&gt;=85,"Oldest Old")</f>
        <v>Young Old</v>
      </c>
      <c r="E554" t="s">
        <v>18</v>
      </c>
      <c r="F554" s="4">
        <v>45948</v>
      </c>
      <c r="G554" s="4">
        <v>45955</v>
      </c>
      <c r="H554" s="7">
        <f t="shared" si="24"/>
        <v>7</v>
      </c>
      <c r="I554" t="s">
        <v>60</v>
      </c>
      <c r="J554" t="s">
        <v>61</v>
      </c>
      <c r="K554" s="2">
        <v>11831.06</v>
      </c>
      <c r="L554" s="9">
        <v>0.8</v>
      </c>
      <c r="M554" s="15">
        <f t="shared" si="25"/>
        <v>9464.848</v>
      </c>
      <c r="N554" s="15">
        <f t="shared" si="26"/>
        <v>2366.2119999999995</v>
      </c>
      <c r="O554" t="s">
        <v>25</v>
      </c>
    </row>
    <row r="555" spans="1:15" hidden="1" x14ac:dyDescent="0.35">
      <c r="A555" t="s">
        <v>1058</v>
      </c>
      <c r="B555" t="s">
        <v>1059</v>
      </c>
      <c r="C555">
        <v>75</v>
      </c>
      <c r="D555" s="8" t="str" cm="1">
        <f t="array" ref="D555">_xlfn.IFS(C555&lt;=2, "Infant", C555&lt;=11, "Child", C555&lt;=17, "Adolescent", C555&lt;=44, "Young Adult", C555&lt;=64, "Middle Aged", C555&lt;=84,"Young Old", C555&gt;=85,"Oldest Old")</f>
        <v>Young Old</v>
      </c>
      <c r="E555" t="s">
        <v>12</v>
      </c>
      <c r="F555" s="4">
        <v>45692</v>
      </c>
      <c r="G555" s="4">
        <v>45699</v>
      </c>
      <c r="H555" s="7">
        <f t="shared" si="24"/>
        <v>7</v>
      </c>
      <c r="I555" t="s">
        <v>31</v>
      </c>
      <c r="J555" t="s">
        <v>87</v>
      </c>
      <c r="K555" s="2">
        <v>7790.86</v>
      </c>
      <c r="L555" s="9">
        <v>1</v>
      </c>
      <c r="M555" s="15">
        <f t="shared" si="25"/>
        <v>7790.86</v>
      </c>
      <c r="N555" s="15">
        <f t="shared" si="26"/>
        <v>0</v>
      </c>
      <c r="O555" t="s">
        <v>15</v>
      </c>
    </row>
    <row r="556" spans="1:15" hidden="1" x14ac:dyDescent="0.35">
      <c r="A556" t="s">
        <v>1060</v>
      </c>
      <c r="B556" t="s">
        <v>1061</v>
      </c>
      <c r="C556">
        <v>27</v>
      </c>
      <c r="D556" s="8" t="str" cm="1">
        <f t="array" ref="D556">_xlfn.IFS(C556&lt;=2, "Infant", C556&lt;=11, "Child", C556&lt;=17, "Adolescent", C556&lt;=44, "Young Adult", C556&lt;=64, "Middle Aged", C556&lt;=84,"Young Old", C556&gt;=85,"Oldest Old")</f>
        <v>Young Adult</v>
      </c>
      <c r="E556" t="s">
        <v>18</v>
      </c>
      <c r="F556" s="4">
        <v>45981</v>
      </c>
      <c r="G556" s="4">
        <v>45988</v>
      </c>
      <c r="H556" s="7">
        <f t="shared" si="24"/>
        <v>7</v>
      </c>
      <c r="I556" t="s">
        <v>31</v>
      </c>
      <c r="J556" t="s">
        <v>44</v>
      </c>
      <c r="K556" s="2">
        <v>4784.6000000000004</v>
      </c>
      <c r="L556" s="9">
        <v>0.7</v>
      </c>
      <c r="M556" s="15">
        <f t="shared" si="25"/>
        <v>3349.2200000000003</v>
      </c>
      <c r="N556" s="15">
        <f t="shared" si="26"/>
        <v>1435.38</v>
      </c>
      <c r="O556" t="s">
        <v>15</v>
      </c>
    </row>
    <row r="557" spans="1:15" hidden="1" x14ac:dyDescent="0.35">
      <c r="A557" t="s">
        <v>1062</v>
      </c>
      <c r="B557" t="s">
        <v>1063</v>
      </c>
      <c r="C557">
        <v>60</v>
      </c>
      <c r="D557" s="8" t="str" cm="1">
        <f t="array" ref="D557">_xlfn.IFS(C557&lt;=2, "Infant", C557&lt;=11, "Child", C557&lt;=17, "Adolescent", C557&lt;=44, "Young Adult", C557&lt;=64, "Middle Aged", C557&lt;=84,"Young Old", C557&gt;=85,"Oldest Old")</f>
        <v>Middle Aged</v>
      </c>
      <c r="E557" t="s">
        <v>12</v>
      </c>
      <c r="F557" s="4">
        <v>45327</v>
      </c>
      <c r="G557" s="4">
        <v>45331</v>
      </c>
      <c r="H557" s="7">
        <f t="shared" si="24"/>
        <v>4</v>
      </c>
      <c r="I557" t="s">
        <v>13</v>
      </c>
      <c r="J557" t="s">
        <v>38</v>
      </c>
      <c r="K557" s="2">
        <v>11688.29</v>
      </c>
      <c r="L557" s="9">
        <v>0.7</v>
      </c>
      <c r="M557" s="15">
        <f t="shared" si="25"/>
        <v>8181.8029999999999</v>
      </c>
      <c r="N557" s="15">
        <f t="shared" si="26"/>
        <v>3506.487000000001</v>
      </c>
      <c r="O557" t="s">
        <v>25</v>
      </c>
    </row>
    <row r="558" spans="1:15" hidden="1" x14ac:dyDescent="0.35">
      <c r="A558" t="s">
        <v>1064</v>
      </c>
      <c r="B558" t="s">
        <v>1059</v>
      </c>
      <c r="C558">
        <v>42</v>
      </c>
      <c r="D558" s="8" t="str" cm="1">
        <f t="array" ref="D558">_xlfn.IFS(C558&lt;=2, "Infant", C558&lt;=11, "Child", C558&lt;=17, "Adolescent", C558&lt;=44, "Young Adult", C558&lt;=64, "Middle Aged", C558&lt;=84,"Young Old", C558&gt;=85,"Oldest Old")</f>
        <v>Young Adult</v>
      </c>
      <c r="E558" t="s">
        <v>12</v>
      </c>
      <c r="F558" s="4">
        <v>45544</v>
      </c>
      <c r="G558" s="4">
        <v>45552</v>
      </c>
      <c r="H558" s="7">
        <f t="shared" si="24"/>
        <v>8</v>
      </c>
      <c r="I558" t="s">
        <v>13</v>
      </c>
      <c r="J558" t="s">
        <v>19</v>
      </c>
      <c r="K558" s="2">
        <v>18692.25</v>
      </c>
      <c r="L558" s="9">
        <v>0.7</v>
      </c>
      <c r="M558" s="15">
        <f t="shared" si="25"/>
        <v>13084.574999999999</v>
      </c>
      <c r="N558" s="15">
        <f t="shared" si="26"/>
        <v>5607.6750000000011</v>
      </c>
      <c r="O558" t="s">
        <v>15</v>
      </c>
    </row>
    <row r="559" spans="1:15" hidden="1" x14ac:dyDescent="0.35">
      <c r="A559" t="s">
        <v>1065</v>
      </c>
      <c r="B559" t="s">
        <v>1066</v>
      </c>
      <c r="C559">
        <v>10</v>
      </c>
      <c r="D559" s="8" t="str" cm="1">
        <f t="array" ref="D559">_xlfn.IFS(C559&lt;=2, "Infant", C559&lt;=11, "Child", C559&lt;=17, "Adolescent", C559&lt;=44, "Young Adult", C559&lt;=64, "Middle Aged", C559&lt;=84,"Young Old", C559&gt;=85,"Oldest Old")</f>
        <v>Child</v>
      </c>
      <c r="E559" t="s">
        <v>12</v>
      </c>
      <c r="F559" s="4">
        <v>45443</v>
      </c>
      <c r="G559" s="4">
        <v>45448</v>
      </c>
      <c r="H559" s="7">
        <f t="shared" si="24"/>
        <v>5</v>
      </c>
      <c r="I559" t="s">
        <v>49</v>
      </c>
      <c r="J559" t="s">
        <v>50</v>
      </c>
      <c r="K559" s="2">
        <v>3371.75</v>
      </c>
      <c r="L559" s="9">
        <v>1</v>
      </c>
      <c r="M559" s="15">
        <f t="shared" si="25"/>
        <v>3371.75</v>
      </c>
      <c r="N559" s="15">
        <f t="shared" si="26"/>
        <v>0</v>
      </c>
      <c r="O559" t="s">
        <v>15</v>
      </c>
    </row>
    <row r="560" spans="1:15" hidden="1" x14ac:dyDescent="0.35">
      <c r="A560" t="s">
        <v>1067</v>
      </c>
      <c r="B560" t="s">
        <v>856</v>
      </c>
      <c r="C560">
        <v>79</v>
      </c>
      <c r="D560" s="8" t="str" cm="1">
        <f t="array" ref="D560">_xlfn.IFS(C560&lt;=2, "Infant", C560&lt;=11, "Child", C560&lt;=17, "Adolescent", C560&lt;=44, "Young Adult", C560&lt;=64, "Middle Aged", C560&lt;=84,"Young Old", C560&gt;=85,"Oldest Old")</f>
        <v>Young Old</v>
      </c>
      <c r="E560" t="s">
        <v>18</v>
      </c>
      <c r="F560" s="4">
        <v>45516</v>
      </c>
      <c r="G560" s="4">
        <v>45518</v>
      </c>
      <c r="H560" s="7">
        <f t="shared" si="24"/>
        <v>2</v>
      </c>
      <c r="I560" t="s">
        <v>23</v>
      </c>
      <c r="J560" t="s">
        <v>28</v>
      </c>
      <c r="K560" s="2">
        <v>4382.4799999999996</v>
      </c>
      <c r="L560" s="9">
        <v>0.7</v>
      </c>
      <c r="M560" s="15">
        <f t="shared" si="25"/>
        <v>3067.7359999999994</v>
      </c>
      <c r="N560" s="15">
        <f t="shared" si="26"/>
        <v>1314.7440000000001</v>
      </c>
      <c r="O560" t="s">
        <v>20</v>
      </c>
    </row>
    <row r="561" spans="1:15" x14ac:dyDescent="0.35">
      <c r="A561" t="s">
        <v>1068</v>
      </c>
      <c r="B561" t="s">
        <v>1069</v>
      </c>
      <c r="C561">
        <v>82</v>
      </c>
      <c r="D561" s="8" t="str" cm="1">
        <f t="array" ref="D561">_xlfn.IFS(C561&lt;=2, "Infant", C561&lt;=11, "Child", C561&lt;=17, "Adolescent", C561&lt;=44, "Young Adult", C561&lt;=64, "Middle Aged", C561&lt;=84,"Young Old", C561&gt;=85,"Oldest Old")</f>
        <v>Young Old</v>
      </c>
      <c r="E561" t="s">
        <v>18</v>
      </c>
      <c r="F561" s="4">
        <v>45549</v>
      </c>
      <c r="G561" s="4">
        <v>45553</v>
      </c>
      <c r="H561" s="7">
        <f t="shared" si="24"/>
        <v>4</v>
      </c>
      <c r="I561" t="s">
        <v>31</v>
      </c>
      <c r="J561" t="s">
        <v>32</v>
      </c>
      <c r="K561" s="2">
        <v>4088.62</v>
      </c>
      <c r="L561" s="9">
        <v>0.6</v>
      </c>
      <c r="M561" s="15">
        <f t="shared" si="25"/>
        <v>2453.172</v>
      </c>
      <c r="N561" s="15">
        <f t="shared" si="26"/>
        <v>1635.4479999999999</v>
      </c>
      <c r="O561" t="s">
        <v>25</v>
      </c>
    </row>
    <row r="562" spans="1:15" hidden="1" x14ac:dyDescent="0.35">
      <c r="A562" t="s">
        <v>1070</v>
      </c>
      <c r="B562" t="s">
        <v>1071</v>
      </c>
      <c r="C562">
        <v>7</v>
      </c>
      <c r="D562" s="8" t="str" cm="1">
        <f t="array" ref="D562">_xlfn.IFS(C562&lt;=2, "Infant", C562&lt;=11, "Child", C562&lt;=17, "Adolescent", C562&lt;=44, "Young Adult", C562&lt;=64, "Middle Aged", C562&lt;=84,"Young Old", C562&gt;=85,"Oldest Old")</f>
        <v>Child</v>
      </c>
      <c r="E562" t="s">
        <v>12</v>
      </c>
      <c r="F562" s="4">
        <v>45865</v>
      </c>
      <c r="G562" s="4">
        <v>45868</v>
      </c>
      <c r="H562" s="7">
        <f t="shared" si="24"/>
        <v>3</v>
      </c>
      <c r="I562" t="s">
        <v>49</v>
      </c>
      <c r="J562" t="s">
        <v>378</v>
      </c>
      <c r="K562" s="2">
        <v>3324.31</v>
      </c>
      <c r="L562" s="9">
        <v>0.8</v>
      </c>
      <c r="M562" s="15">
        <f t="shared" si="25"/>
        <v>2659.4480000000003</v>
      </c>
      <c r="N562" s="15">
        <f t="shared" si="26"/>
        <v>664.86199999999963</v>
      </c>
      <c r="O562" t="s">
        <v>25</v>
      </c>
    </row>
    <row r="563" spans="1:15" hidden="1" x14ac:dyDescent="0.35">
      <c r="A563" t="s">
        <v>1072</v>
      </c>
      <c r="B563" t="s">
        <v>91</v>
      </c>
      <c r="C563">
        <v>25</v>
      </c>
      <c r="D563" s="8" t="str" cm="1">
        <f t="array" ref="D563">_xlfn.IFS(C563&lt;=2, "Infant", C563&lt;=11, "Child", C563&lt;=17, "Adolescent", C563&lt;=44, "Young Adult", C563&lt;=64, "Middle Aged", C563&lt;=84,"Young Old", C563&gt;=85,"Oldest Old")</f>
        <v>Young Adult</v>
      </c>
      <c r="E563" t="s">
        <v>12</v>
      </c>
      <c r="F563" s="4">
        <v>45413</v>
      </c>
      <c r="G563" s="4">
        <v>45421</v>
      </c>
      <c r="H563" s="7">
        <f t="shared" si="24"/>
        <v>8</v>
      </c>
      <c r="I563" t="s">
        <v>60</v>
      </c>
      <c r="J563" t="s">
        <v>61</v>
      </c>
      <c r="K563" s="2">
        <v>9961.07</v>
      </c>
      <c r="L563" s="9">
        <v>0.7</v>
      </c>
      <c r="M563" s="15">
        <f t="shared" si="25"/>
        <v>6972.7489999999998</v>
      </c>
      <c r="N563" s="15">
        <f t="shared" si="26"/>
        <v>2988.3209999999999</v>
      </c>
      <c r="O563" t="s">
        <v>15</v>
      </c>
    </row>
    <row r="564" spans="1:15" hidden="1" x14ac:dyDescent="0.35">
      <c r="A564" t="s">
        <v>1073</v>
      </c>
      <c r="B564" t="s">
        <v>1074</v>
      </c>
      <c r="C564">
        <v>77</v>
      </c>
      <c r="D564" s="8" t="str" cm="1">
        <f t="array" ref="D564">_xlfn.IFS(C564&lt;=2, "Infant", C564&lt;=11, "Child", C564&lt;=17, "Adolescent", C564&lt;=44, "Young Adult", C564&lt;=64, "Middle Aged", C564&lt;=84,"Young Old", C564&gt;=85,"Oldest Old")</f>
        <v>Young Old</v>
      </c>
      <c r="E564" t="s">
        <v>12</v>
      </c>
      <c r="F564" s="4">
        <v>45315</v>
      </c>
      <c r="G564" s="4">
        <v>45321</v>
      </c>
      <c r="H564" s="7">
        <f t="shared" si="24"/>
        <v>6</v>
      </c>
      <c r="I564" t="s">
        <v>31</v>
      </c>
      <c r="J564" t="s">
        <v>87</v>
      </c>
      <c r="K564" s="2">
        <v>8841.14</v>
      </c>
      <c r="L564" s="9">
        <v>0</v>
      </c>
      <c r="M564" s="15">
        <f t="shared" si="25"/>
        <v>0</v>
      </c>
      <c r="N564" s="15">
        <f t="shared" si="26"/>
        <v>8841.14</v>
      </c>
      <c r="O564" t="s">
        <v>15</v>
      </c>
    </row>
    <row r="565" spans="1:15" hidden="1" x14ac:dyDescent="0.35">
      <c r="A565" t="s">
        <v>1075</v>
      </c>
      <c r="B565" t="s">
        <v>1076</v>
      </c>
      <c r="C565">
        <v>3</v>
      </c>
      <c r="D565" s="8" t="str" cm="1">
        <f t="array" ref="D565">_xlfn.IFS(C565&lt;=2, "Infant", C565&lt;=11, "Child", C565&lt;=17, "Adolescent", C565&lt;=44, "Young Adult", C565&lt;=64, "Middle Aged", C565&lt;=84,"Young Old", C565&gt;=85,"Oldest Old")</f>
        <v>Child</v>
      </c>
      <c r="E565" t="s">
        <v>12</v>
      </c>
      <c r="F565" s="4">
        <v>45756</v>
      </c>
      <c r="G565" s="4">
        <v>45759</v>
      </c>
      <c r="H565" s="7">
        <f t="shared" si="24"/>
        <v>3</v>
      </c>
      <c r="I565" t="s">
        <v>49</v>
      </c>
      <c r="J565" t="s">
        <v>50</v>
      </c>
      <c r="K565" s="2">
        <v>5228.9399999999996</v>
      </c>
      <c r="L565" s="9">
        <v>0.5</v>
      </c>
      <c r="M565" s="15">
        <f t="shared" si="25"/>
        <v>2614.4699999999998</v>
      </c>
      <c r="N565" s="15">
        <f t="shared" si="26"/>
        <v>2614.4699999999998</v>
      </c>
      <c r="O565" t="s">
        <v>20</v>
      </c>
    </row>
    <row r="566" spans="1:15" hidden="1" x14ac:dyDescent="0.35">
      <c r="A566" t="s">
        <v>1077</v>
      </c>
      <c r="B566" t="s">
        <v>1078</v>
      </c>
      <c r="C566">
        <v>47</v>
      </c>
      <c r="D566" s="8" t="str" cm="1">
        <f t="array" ref="D566">_xlfn.IFS(C566&lt;=2, "Infant", C566&lt;=11, "Child", C566&lt;=17, "Adolescent", C566&lt;=44, "Young Adult", C566&lt;=64, "Middle Aged", C566&lt;=84,"Young Old", C566&gt;=85,"Oldest Old")</f>
        <v>Middle Aged</v>
      </c>
      <c r="E566" t="s">
        <v>12</v>
      </c>
      <c r="F566" s="4">
        <v>45966</v>
      </c>
      <c r="G566" s="4">
        <v>45971</v>
      </c>
      <c r="H566" s="7">
        <f t="shared" si="24"/>
        <v>5</v>
      </c>
      <c r="I566" t="s">
        <v>31</v>
      </c>
      <c r="J566" t="s">
        <v>114</v>
      </c>
      <c r="K566" s="2">
        <v>6395.28</v>
      </c>
      <c r="L566" s="9">
        <v>0.9</v>
      </c>
      <c r="M566" s="15">
        <f t="shared" si="25"/>
        <v>5755.7519999999995</v>
      </c>
      <c r="N566" s="15">
        <f t="shared" si="26"/>
        <v>639.52800000000025</v>
      </c>
      <c r="O566" t="s">
        <v>15</v>
      </c>
    </row>
    <row r="567" spans="1:15" hidden="1" x14ac:dyDescent="0.35">
      <c r="A567" t="s">
        <v>1079</v>
      </c>
      <c r="B567" t="s">
        <v>346</v>
      </c>
      <c r="C567">
        <v>68</v>
      </c>
      <c r="D567" s="8" t="str" cm="1">
        <f t="array" ref="D567">_xlfn.IFS(C567&lt;=2, "Infant", C567&lt;=11, "Child", C567&lt;=17, "Adolescent", C567&lt;=44, "Young Adult", C567&lt;=64, "Middle Aged", C567&lt;=84,"Young Old", C567&gt;=85,"Oldest Old")</f>
        <v>Young Old</v>
      </c>
      <c r="E567" t="s">
        <v>18</v>
      </c>
      <c r="F567" s="4">
        <v>45516</v>
      </c>
      <c r="G567" s="4">
        <v>45517</v>
      </c>
      <c r="H567" s="7">
        <f t="shared" si="24"/>
        <v>1</v>
      </c>
      <c r="I567" t="s">
        <v>31</v>
      </c>
      <c r="J567" t="s">
        <v>87</v>
      </c>
      <c r="K567" s="2">
        <v>973.65</v>
      </c>
      <c r="L567" s="9">
        <v>0.8</v>
      </c>
      <c r="M567" s="15">
        <f t="shared" si="25"/>
        <v>778.92000000000007</v>
      </c>
      <c r="N567" s="15">
        <f t="shared" si="26"/>
        <v>194.7299999999999</v>
      </c>
      <c r="O567" t="s">
        <v>20</v>
      </c>
    </row>
    <row r="568" spans="1:15" hidden="1" x14ac:dyDescent="0.35">
      <c r="A568" t="s">
        <v>1080</v>
      </c>
      <c r="B568" t="s">
        <v>412</v>
      </c>
      <c r="C568">
        <v>52</v>
      </c>
      <c r="D568" s="8" t="str" cm="1">
        <f t="array" ref="D568">_xlfn.IFS(C568&lt;=2, "Infant", C568&lt;=11, "Child", C568&lt;=17, "Adolescent", C568&lt;=44, "Young Adult", C568&lt;=64, "Middle Aged", C568&lt;=84,"Young Old", C568&gt;=85,"Oldest Old")</f>
        <v>Middle Aged</v>
      </c>
      <c r="E568" t="s">
        <v>12</v>
      </c>
      <c r="F568" s="4">
        <v>45724</v>
      </c>
      <c r="G568" s="4">
        <v>45729</v>
      </c>
      <c r="H568" s="7">
        <f t="shared" si="24"/>
        <v>5</v>
      </c>
      <c r="I568" t="s">
        <v>13</v>
      </c>
      <c r="J568" t="s">
        <v>38</v>
      </c>
      <c r="K568" s="2">
        <v>10137.39</v>
      </c>
      <c r="L568" s="9">
        <v>0.7</v>
      </c>
      <c r="M568" s="15">
        <f t="shared" si="25"/>
        <v>7096.1729999999989</v>
      </c>
      <c r="N568" s="15">
        <f t="shared" si="26"/>
        <v>3041.2170000000006</v>
      </c>
      <c r="O568" t="s">
        <v>25</v>
      </c>
    </row>
    <row r="569" spans="1:15" hidden="1" x14ac:dyDescent="0.35">
      <c r="A569" t="s">
        <v>1081</v>
      </c>
      <c r="B569" t="s">
        <v>439</v>
      </c>
      <c r="C569">
        <v>28</v>
      </c>
      <c r="D569" s="8" t="str" cm="1">
        <f t="array" ref="D569">_xlfn.IFS(C569&lt;=2, "Infant", C569&lt;=11, "Child", C569&lt;=17, "Adolescent", C569&lt;=44, "Young Adult", C569&lt;=64, "Middle Aged", C569&lt;=84,"Young Old", C569&gt;=85,"Oldest Old")</f>
        <v>Young Adult</v>
      </c>
      <c r="E569" t="s">
        <v>18</v>
      </c>
      <c r="F569" s="4">
        <v>45300</v>
      </c>
      <c r="G569" s="4">
        <v>45312</v>
      </c>
      <c r="H569" s="7">
        <f t="shared" si="24"/>
        <v>12</v>
      </c>
      <c r="I569" t="s">
        <v>60</v>
      </c>
      <c r="J569" t="s">
        <v>77</v>
      </c>
      <c r="K569" s="2">
        <v>22947.49</v>
      </c>
      <c r="L569" s="9">
        <v>0.8</v>
      </c>
      <c r="M569" s="15">
        <f t="shared" si="25"/>
        <v>18357.992000000002</v>
      </c>
      <c r="N569" s="15">
        <f t="shared" si="26"/>
        <v>4589.4979999999996</v>
      </c>
      <c r="O569" t="s">
        <v>15</v>
      </c>
    </row>
    <row r="570" spans="1:15" hidden="1" x14ac:dyDescent="0.35">
      <c r="A570" t="s">
        <v>1082</v>
      </c>
      <c r="B570" t="s">
        <v>1083</v>
      </c>
      <c r="C570">
        <v>67</v>
      </c>
      <c r="D570" s="8" t="str" cm="1">
        <f t="array" ref="D570">_xlfn.IFS(C570&lt;=2, "Infant", C570&lt;=11, "Child", C570&lt;=17, "Adolescent", C570&lt;=44, "Young Adult", C570&lt;=64, "Middle Aged", C570&lt;=84,"Young Old", C570&gt;=85,"Oldest Old")</f>
        <v>Young Old</v>
      </c>
      <c r="E570" t="s">
        <v>12</v>
      </c>
      <c r="F570" s="4">
        <v>45553</v>
      </c>
      <c r="G570" s="4">
        <v>45555</v>
      </c>
      <c r="H570" s="7">
        <f t="shared" si="24"/>
        <v>2</v>
      </c>
      <c r="I570" t="s">
        <v>60</v>
      </c>
      <c r="J570" t="s">
        <v>133</v>
      </c>
      <c r="K570" s="2">
        <v>2438.71</v>
      </c>
      <c r="L570" s="9">
        <v>0.7</v>
      </c>
      <c r="M570" s="15">
        <f t="shared" si="25"/>
        <v>1707.097</v>
      </c>
      <c r="N570" s="15">
        <f t="shared" si="26"/>
        <v>731.61300000000006</v>
      </c>
      <c r="O570" t="s">
        <v>25</v>
      </c>
    </row>
    <row r="571" spans="1:15" hidden="1" x14ac:dyDescent="0.35">
      <c r="A571" t="s">
        <v>1084</v>
      </c>
      <c r="B571" t="s">
        <v>750</v>
      </c>
      <c r="C571">
        <v>55</v>
      </c>
      <c r="D571" s="8" t="str" cm="1">
        <f t="array" ref="D571">_xlfn.IFS(C571&lt;=2, "Infant", C571&lt;=11, "Child", C571&lt;=17, "Adolescent", C571&lt;=44, "Young Adult", C571&lt;=64, "Middle Aged", C571&lt;=84,"Young Old", C571&gt;=85,"Oldest Old")</f>
        <v>Middle Aged</v>
      </c>
      <c r="E571" t="s">
        <v>18</v>
      </c>
      <c r="F571" s="4">
        <v>45360</v>
      </c>
      <c r="G571" s="4">
        <v>45362</v>
      </c>
      <c r="H571" s="7">
        <f t="shared" si="24"/>
        <v>2</v>
      </c>
      <c r="I571" t="s">
        <v>23</v>
      </c>
      <c r="J571" t="s">
        <v>333</v>
      </c>
      <c r="K571" s="2">
        <v>1963.87</v>
      </c>
      <c r="L571" s="9">
        <v>0.8</v>
      </c>
      <c r="M571" s="15">
        <f t="shared" si="25"/>
        <v>1571.096</v>
      </c>
      <c r="N571" s="15">
        <f t="shared" si="26"/>
        <v>392.77399999999989</v>
      </c>
      <c r="O571" t="s">
        <v>25</v>
      </c>
    </row>
    <row r="572" spans="1:15" hidden="1" x14ac:dyDescent="0.35">
      <c r="A572" t="s">
        <v>1085</v>
      </c>
      <c r="B572" t="s">
        <v>1051</v>
      </c>
      <c r="C572">
        <v>12</v>
      </c>
      <c r="D572" s="8" t="str" cm="1">
        <f t="array" ref="D572">_xlfn.IFS(C572&lt;=2, "Infant", C572&lt;=11, "Child", C572&lt;=17, "Adolescent", C572&lt;=44, "Young Adult", C572&lt;=64, "Middle Aged", C572&lt;=84,"Young Old", C572&gt;=85,"Oldest Old")</f>
        <v>Adolescent</v>
      </c>
      <c r="E572" t="s">
        <v>12</v>
      </c>
      <c r="F572" s="4">
        <v>45831</v>
      </c>
      <c r="G572" s="4">
        <v>45834</v>
      </c>
      <c r="H572" s="7">
        <f t="shared" si="24"/>
        <v>3</v>
      </c>
      <c r="I572" t="s">
        <v>49</v>
      </c>
      <c r="J572" t="s">
        <v>123</v>
      </c>
      <c r="K572" s="2">
        <v>3527.16</v>
      </c>
      <c r="L572" s="9">
        <v>0.7</v>
      </c>
      <c r="M572" s="15">
        <f t="shared" si="25"/>
        <v>2469.0119999999997</v>
      </c>
      <c r="N572" s="15">
        <f t="shared" si="26"/>
        <v>1058.1480000000001</v>
      </c>
      <c r="O572" t="s">
        <v>15</v>
      </c>
    </row>
    <row r="573" spans="1:15" hidden="1" x14ac:dyDescent="0.35">
      <c r="A573" t="s">
        <v>1086</v>
      </c>
      <c r="B573" t="s">
        <v>1087</v>
      </c>
      <c r="C573">
        <v>35</v>
      </c>
      <c r="D573" s="8" t="str" cm="1">
        <f t="array" ref="D573">_xlfn.IFS(C573&lt;=2, "Infant", C573&lt;=11, "Child", C573&lt;=17, "Adolescent", C573&lt;=44, "Young Adult", C573&lt;=64, "Middle Aged", C573&lt;=84,"Young Old", C573&gt;=85,"Oldest Old")</f>
        <v>Young Adult</v>
      </c>
      <c r="E573" t="s">
        <v>12</v>
      </c>
      <c r="F573" s="4">
        <v>45864</v>
      </c>
      <c r="G573" s="4">
        <v>45867</v>
      </c>
      <c r="H573" s="7">
        <f t="shared" si="24"/>
        <v>3</v>
      </c>
      <c r="I573" t="s">
        <v>23</v>
      </c>
      <c r="J573" t="s">
        <v>333</v>
      </c>
      <c r="K573" s="2">
        <v>5342.79</v>
      </c>
      <c r="L573" s="9">
        <v>0.7</v>
      </c>
      <c r="M573" s="15">
        <f t="shared" si="25"/>
        <v>3739.9529999999995</v>
      </c>
      <c r="N573" s="15">
        <f t="shared" si="26"/>
        <v>1602.8370000000004</v>
      </c>
      <c r="O573" t="s">
        <v>15</v>
      </c>
    </row>
    <row r="574" spans="1:15" hidden="1" x14ac:dyDescent="0.35">
      <c r="A574" t="s">
        <v>1088</v>
      </c>
      <c r="B574" t="s">
        <v>1089</v>
      </c>
      <c r="C574">
        <v>30</v>
      </c>
      <c r="D574" s="8" t="str" cm="1">
        <f t="array" ref="D574">_xlfn.IFS(C574&lt;=2, "Infant", C574&lt;=11, "Child", C574&lt;=17, "Adolescent", C574&lt;=44, "Young Adult", C574&lt;=64, "Middle Aged", C574&lt;=84,"Young Old", C574&gt;=85,"Oldest Old")</f>
        <v>Young Adult</v>
      </c>
      <c r="E574" t="s">
        <v>18</v>
      </c>
      <c r="F574" s="4">
        <v>45523</v>
      </c>
      <c r="G574" s="4">
        <v>45535</v>
      </c>
      <c r="H574" s="7">
        <f t="shared" si="24"/>
        <v>12</v>
      </c>
      <c r="I574" t="s">
        <v>60</v>
      </c>
      <c r="J574" t="s">
        <v>77</v>
      </c>
      <c r="K574" s="2">
        <v>30203.49</v>
      </c>
      <c r="L574" s="9">
        <v>1</v>
      </c>
      <c r="M574" s="15">
        <f t="shared" si="25"/>
        <v>30203.49</v>
      </c>
      <c r="N574" s="15">
        <f t="shared" si="26"/>
        <v>0</v>
      </c>
      <c r="O574" t="s">
        <v>20</v>
      </c>
    </row>
    <row r="575" spans="1:15" hidden="1" x14ac:dyDescent="0.35">
      <c r="A575" t="s">
        <v>1090</v>
      </c>
      <c r="B575" t="s">
        <v>606</v>
      </c>
      <c r="C575">
        <v>69</v>
      </c>
      <c r="D575" s="8" t="str" cm="1">
        <f t="array" ref="D575">_xlfn.IFS(C575&lt;=2, "Infant", C575&lt;=11, "Child", C575&lt;=17, "Adolescent", C575&lt;=44, "Young Adult", C575&lt;=64, "Middle Aged", C575&lt;=84,"Young Old", C575&gt;=85,"Oldest Old")</f>
        <v>Young Old</v>
      </c>
      <c r="E575" t="s">
        <v>12</v>
      </c>
      <c r="F575" s="4">
        <v>45407</v>
      </c>
      <c r="G575" s="4">
        <v>45413</v>
      </c>
      <c r="H575" s="7">
        <f t="shared" si="24"/>
        <v>6</v>
      </c>
      <c r="I575" t="s">
        <v>60</v>
      </c>
      <c r="J575" t="s">
        <v>77</v>
      </c>
      <c r="K575" s="2">
        <v>7312.84</v>
      </c>
      <c r="L575" s="9">
        <v>0.7</v>
      </c>
      <c r="M575" s="15">
        <f t="shared" si="25"/>
        <v>5118.9879999999994</v>
      </c>
      <c r="N575" s="15">
        <f t="shared" si="26"/>
        <v>2193.8520000000008</v>
      </c>
      <c r="O575" t="s">
        <v>20</v>
      </c>
    </row>
    <row r="576" spans="1:15" hidden="1" x14ac:dyDescent="0.35">
      <c r="A576" t="s">
        <v>1091</v>
      </c>
      <c r="B576" t="s">
        <v>693</v>
      </c>
      <c r="C576">
        <v>34</v>
      </c>
      <c r="D576" s="8" t="str" cm="1">
        <f t="array" ref="D576">_xlfn.IFS(C576&lt;=2, "Infant", C576&lt;=11, "Child", C576&lt;=17, "Adolescent", C576&lt;=44, "Young Adult", C576&lt;=64, "Middle Aged", C576&lt;=84,"Young Old", C576&gt;=85,"Oldest Old")</f>
        <v>Young Adult</v>
      </c>
      <c r="E576" t="s">
        <v>18</v>
      </c>
      <c r="F576" s="4">
        <v>45443</v>
      </c>
      <c r="G576" s="4">
        <v>45447</v>
      </c>
      <c r="H576" s="7">
        <f t="shared" si="24"/>
        <v>4</v>
      </c>
      <c r="I576" t="s">
        <v>31</v>
      </c>
      <c r="J576" t="s">
        <v>234</v>
      </c>
      <c r="K576" s="2">
        <v>4926.28</v>
      </c>
      <c r="L576" s="9">
        <v>0.9</v>
      </c>
      <c r="M576" s="15">
        <f t="shared" si="25"/>
        <v>4433.652</v>
      </c>
      <c r="N576" s="15">
        <f t="shared" si="26"/>
        <v>492.6279999999997</v>
      </c>
      <c r="O576" t="s">
        <v>15</v>
      </c>
    </row>
    <row r="577" spans="1:15" hidden="1" x14ac:dyDescent="0.35">
      <c r="A577" t="s">
        <v>1092</v>
      </c>
      <c r="B577" t="s">
        <v>1093</v>
      </c>
      <c r="C577">
        <v>84</v>
      </c>
      <c r="D577" s="8" t="str" cm="1">
        <f t="array" ref="D577">_xlfn.IFS(C577&lt;=2, "Infant", C577&lt;=11, "Child", C577&lt;=17, "Adolescent", C577&lt;=44, "Young Adult", C577&lt;=64, "Middle Aged", C577&lt;=84,"Young Old", C577&gt;=85,"Oldest Old")</f>
        <v>Young Old</v>
      </c>
      <c r="E577" t="s">
        <v>18</v>
      </c>
      <c r="F577" s="4">
        <v>45906</v>
      </c>
      <c r="G577" s="4">
        <v>45908</v>
      </c>
      <c r="H577" s="7">
        <f t="shared" si="24"/>
        <v>2</v>
      </c>
      <c r="I577" t="s">
        <v>23</v>
      </c>
      <c r="J577" t="s">
        <v>28</v>
      </c>
      <c r="K577" s="2">
        <v>3526.66</v>
      </c>
      <c r="L577" s="9">
        <v>1</v>
      </c>
      <c r="M577" s="15">
        <f t="shared" si="25"/>
        <v>3526.66</v>
      </c>
      <c r="N577" s="15">
        <f t="shared" si="26"/>
        <v>0</v>
      </c>
      <c r="O577" t="s">
        <v>25</v>
      </c>
    </row>
    <row r="578" spans="1:15" hidden="1" x14ac:dyDescent="0.35">
      <c r="A578" t="s">
        <v>1094</v>
      </c>
      <c r="B578" t="s">
        <v>1095</v>
      </c>
      <c r="C578">
        <v>76</v>
      </c>
      <c r="D578" s="8" t="str" cm="1">
        <f t="array" ref="D578">_xlfn.IFS(C578&lt;=2, "Infant", C578&lt;=11, "Child", C578&lt;=17, "Adolescent", C578&lt;=44, "Young Adult", C578&lt;=64, "Middle Aged", C578&lt;=84,"Young Old", C578&gt;=85,"Oldest Old")</f>
        <v>Young Old</v>
      </c>
      <c r="E578" t="s">
        <v>18</v>
      </c>
      <c r="F578" s="4">
        <v>45777</v>
      </c>
      <c r="G578" s="4">
        <v>45781</v>
      </c>
      <c r="H578" s="7">
        <f t="shared" si="24"/>
        <v>4</v>
      </c>
      <c r="I578" t="s">
        <v>31</v>
      </c>
      <c r="J578" t="s">
        <v>114</v>
      </c>
      <c r="K578" s="2">
        <v>3004.47</v>
      </c>
      <c r="L578" s="9">
        <v>0.8</v>
      </c>
      <c r="M578" s="15">
        <f t="shared" si="25"/>
        <v>2403.576</v>
      </c>
      <c r="N578" s="15">
        <f t="shared" si="26"/>
        <v>600.89399999999978</v>
      </c>
      <c r="O578" t="s">
        <v>15</v>
      </c>
    </row>
    <row r="579" spans="1:15" hidden="1" x14ac:dyDescent="0.35">
      <c r="A579" t="s">
        <v>1096</v>
      </c>
      <c r="B579" t="s">
        <v>1097</v>
      </c>
      <c r="C579">
        <v>55</v>
      </c>
      <c r="D579" s="8" t="str" cm="1">
        <f t="array" ref="D579">_xlfn.IFS(C579&lt;=2, "Infant", C579&lt;=11, "Child", C579&lt;=17, "Adolescent", C579&lt;=44, "Young Adult", C579&lt;=64, "Middle Aged", C579&lt;=84,"Young Old", C579&gt;=85,"Oldest Old")</f>
        <v>Middle Aged</v>
      </c>
      <c r="E579" t="s">
        <v>12</v>
      </c>
      <c r="F579" s="4">
        <v>45799</v>
      </c>
      <c r="G579" s="4">
        <v>45800</v>
      </c>
      <c r="H579" s="7">
        <f t="shared" ref="H579:H642" si="27">DATEDIF(F579,G579,"D")</f>
        <v>1</v>
      </c>
      <c r="I579" t="s">
        <v>23</v>
      </c>
      <c r="J579" t="s">
        <v>204</v>
      </c>
      <c r="K579" s="2">
        <v>988.47</v>
      </c>
      <c r="L579" s="9">
        <v>0.9</v>
      </c>
      <c r="M579" s="15">
        <f t="shared" ref="M579:M642" si="28">L579*K579</f>
        <v>889.62300000000005</v>
      </c>
      <c r="N579" s="15">
        <f t="shared" ref="N579:N642" si="29">K579-M579</f>
        <v>98.84699999999998</v>
      </c>
      <c r="O579" t="s">
        <v>15</v>
      </c>
    </row>
    <row r="580" spans="1:15" hidden="1" x14ac:dyDescent="0.35">
      <c r="A580" t="s">
        <v>1098</v>
      </c>
      <c r="B580" t="s">
        <v>1099</v>
      </c>
      <c r="C580">
        <v>63</v>
      </c>
      <c r="D580" s="8" t="str" cm="1">
        <f t="array" ref="D580">_xlfn.IFS(C580&lt;=2, "Infant", C580&lt;=11, "Child", C580&lt;=17, "Adolescent", C580&lt;=44, "Young Adult", C580&lt;=64, "Middle Aged", C580&lt;=84,"Young Old", C580&gt;=85,"Oldest Old")</f>
        <v>Middle Aged</v>
      </c>
      <c r="E580" t="s">
        <v>18</v>
      </c>
      <c r="F580" s="4">
        <v>45845</v>
      </c>
      <c r="G580" s="4">
        <v>45852</v>
      </c>
      <c r="H580" s="7">
        <f t="shared" si="27"/>
        <v>7</v>
      </c>
      <c r="I580" t="s">
        <v>13</v>
      </c>
      <c r="J580" t="s">
        <v>165</v>
      </c>
      <c r="K580" s="2">
        <v>8993.9699999999993</v>
      </c>
      <c r="L580" s="9">
        <v>0.6</v>
      </c>
      <c r="M580" s="15">
        <f t="shared" si="28"/>
        <v>5396.3819999999996</v>
      </c>
      <c r="N580" s="15">
        <f t="shared" si="29"/>
        <v>3597.5879999999997</v>
      </c>
      <c r="O580" t="s">
        <v>15</v>
      </c>
    </row>
    <row r="581" spans="1:15" hidden="1" x14ac:dyDescent="0.35">
      <c r="A581" t="s">
        <v>1100</v>
      </c>
      <c r="B581" t="s">
        <v>1101</v>
      </c>
      <c r="C581">
        <v>66</v>
      </c>
      <c r="D581" s="8" t="str" cm="1">
        <f t="array" ref="D581">_xlfn.IFS(C581&lt;=2, "Infant", C581&lt;=11, "Child", C581&lt;=17, "Adolescent", C581&lt;=44, "Young Adult", C581&lt;=64, "Middle Aged", C581&lt;=84,"Young Old", C581&gt;=85,"Oldest Old")</f>
        <v>Young Old</v>
      </c>
      <c r="E581" t="s">
        <v>12</v>
      </c>
      <c r="F581" s="4">
        <v>45839</v>
      </c>
      <c r="G581" s="4">
        <v>45843</v>
      </c>
      <c r="H581" s="7">
        <f t="shared" si="27"/>
        <v>4</v>
      </c>
      <c r="I581" t="s">
        <v>13</v>
      </c>
      <c r="J581" t="s">
        <v>102</v>
      </c>
      <c r="K581" s="2">
        <v>7934.14</v>
      </c>
      <c r="L581" s="9">
        <v>0.8</v>
      </c>
      <c r="M581" s="15">
        <f t="shared" si="28"/>
        <v>6347.3120000000008</v>
      </c>
      <c r="N581" s="15">
        <f t="shared" si="29"/>
        <v>1586.8279999999995</v>
      </c>
      <c r="O581" t="s">
        <v>15</v>
      </c>
    </row>
    <row r="582" spans="1:15" hidden="1" x14ac:dyDescent="0.35">
      <c r="A582" t="s">
        <v>1102</v>
      </c>
      <c r="B582" t="s">
        <v>1103</v>
      </c>
      <c r="C582">
        <v>35</v>
      </c>
      <c r="D582" s="8" t="str" cm="1">
        <f t="array" ref="D582">_xlfn.IFS(C582&lt;=2, "Infant", C582&lt;=11, "Child", C582&lt;=17, "Adolescent", C582&lt;=44, "Young Adult", C582&lt;=64, "Middle Aged", C582&lt;=84,"Young Old", C582&gt;=85,"Oldest Old")</f>
        <v>Young Adult</v>
      </c>
      <c r="E582" t="s">
        <v>18</v>
      </c>
      <c r="F582" s="4">
        <v>45923</v>
      </c>
      <c r="G582" s="4">
        <v>45926</v>
      </c>
      <c r="H582" s="7">
        <f t="shared" si="27"/>
        <v>3</v>
      </c>
      <c r="I582" t="s">
        <v>23</v>
      </c>
      <c r="J582" t="s">
        <v>221</v>
      </c>
      <c r="K582" s="2">
        <v>2517.29</v>
      </c>
      <c r="L582" s="9">
        <v>0.8</v>
      </c>
      <c r="M582" s="15">
        <f t="shared" si="28"/>
        <v>2013.8320000000001</v>
      </c>
      <c r="N582" s="15">
        <f t="shared" si="29"/>
        <v>503.45799999999986</v>
      </c>
      <c r="O582" t="s">
        <v>15</v>
      </c>
    </row>
    <row r="583" spans="1:15" hidden="1" x14ac:dyDescent="0.35">
      <c r="A583" t="s">
        <v>1104</v>
      </c>
      <c r="B583" t="s">
        <v>1105</v>
      </c>
      <c r="C583">
        <v>48</v>
      </c>
      <c r="D583" s="8" t="str" cm="1">
        <f t="array" ref="D583">_xlfn.IFS(C583&lt;=2, "Infant", C583&lt;=11, "Child", C583&lt;=17, "Adolescent", C583&lt;=44, "Young Adult", C583&lt;=64, "Middle Aged", C583&lt;=84,"Young Old", C583&gt;=85,"Oldest Old")</f>
        <v>Middle Aged</v>
      </c>
      <c r="E583" t="s">
        <v>12</v>
      </c>
      <c r="F583" s="4">
        <v>45473</v>
      </c>
      <c r="G583" s="4">
        <v>45481</v>
      </c>
      <c r="H583" s="7">
        <f t="shared" si="27"/>
        <v>8</v>
      </c>
      <c r="I583" t="s">
        <v>13</v>
      </c>
      <c r="J583" t="s">
        <v>14</v>
      </c>
      <c r="K583" s="2">
        <v>12873.58</v>
      </c>
      <c r="L583" s="9">
        <v>0.7</v>
      </c>
      <c r="M583" s="15">
        <f t="shared" si="28"/>
        <v>9011.5059999999994</v>
      </c>
      <c r="N583" s="15">
        <f t="shared" si="29"/>
        <v>3862.0740000000005</v>
      </c>
      <c r="O583" t="s">
        <v>20</v>
      </c>
    </row>
    <row r="584" spans="1:15" x14ac:dyDescent="0.35">
      <c r="A584" t="s">
        <v>1106</v>
      </c>
      <c r="B584" t="s">
        <v>1107</v>
      </c>
      <c r="C584">
        <v>73</v>
      </c>
      <c r="D584" s="8" t="str" cm="1">
        <f t="array" ref="D584">_xlfn.IFS(C584&lt;=2, "Infant", C584&lt;=11, "Child", C584&lt;=17, "Adolescent", C584&lt;=44, "Young Adult", C584&lt;=64, "Middle Aged", C584&lt;=84,"Young Old", C584&gt;=85,"Oldest Old")</f>
        <v>Young Old</v>
      </c>
      <c r="E584" t="s">
        <v>18</v>
      </c>
      <c r="F584" s="4">
        <v>45906</v>
      </c>
      <c r="G584" s="4">
        <v>45910</v>
      </c>
      <c r="H584" s="7">
        <f t="shared" si="27"/>
        <v>4</v>
      </c>
      <c r="I584" t="s">
        <v>31</v>
      </c>
      <c r="J584" t="s">
        <v>32</v>
      </c>
      <c r="K584" s="2">
        <v>5208.9799999999996</v>
      </c>
      <c r="L584" s="9">
        <v>0.8</v>
      </c>
      <c r="M584" s="15">
        <f t="shared" si="28"/>
        <v>4167.1840000000002</v>
      </c>
      <c r="N584" s="15">
        <f t="shared" si="29"/>
        <v>1041.7959999999994</v>
      </c>
      <c r="O584" t="s">
        <v>15</v>
      </c>
    </row>
    <row r="585" spans="1:15" hidden="1" x14ac:dyDescent="0.35">
      <c r="A585" t="s">
        <v>1108</v>
      </c>
      <c r="B585" t="s">
        <v>1109</v>
      </c>
      <c r="C585">
        <v>80</v>
      </c>
      <c r="D585" s="8" t="str" cm="1">
        <f t="array" ref="D585">_xlfn.IFS(C585&lt;=2, "Infant", C585&lt;=11, "Child", C585&lt;=17, "Adolescent", C585&lt;=44, "Young Adult", C585&lt;=64, "Middle Aged", C585&lt;=84,"Young Old", C585&gt;=85,"Oldest Old")</f>
        <v>Young Old</v>
      </c>
      <c r="E585" t="s">
        <v>12</v>
      </c>
      <c r="F585" s="4">
        <v>45489</v>
      </c>
      <c r="G585" s="4">
        <v>45498</v>
      </c>
      <c r="H585" s="7">
        <f t="shared" si="27"/>
        <v>9</v>
      </c>
      <c r="I585" t="s">
        <v>13</v>
      </c>
      <c r="J585" t="s">
        <v>19</v>
      </c>
      <c r="K585" s="2">
        <v>16136.12</v>
      </c>
      <c r="L585" s="9">
        <v>1</v>
      </c>
      <c r="M585" s="15">
        <f t="shared" si="28"/>
        <v>16136.12</v>
      </c>
      <c r="N585" s="15">
        <f t="shared" si="29"/>
        <v>0</v>
      </c>
      <c r="O585" t="s">
        <v>15</v>
      </c>
    </row>
    <row r="586" spans="1:15" hidden="1" x14ac:dyDescent="0.35">
      <c r="A586" t="s">
        <v>1110</v>
      </c>
      <c r="B586" t="s">
        <v>717</v>
      </c>
      <c r="C586">
        <v>10</v>
      </c>
      <c r="D586" s="8" t="str" cm="1">
        <f t="array" ref="D586">_xlfn.IFS(C586&lt;=2, "Infant", C586&lt;=11, "Child", C586&lt;=17, "Adolescent", C586&lt;=44, "Young Adult", C586&lt;=64, "Middle Aged", C586&lt;=84,"Young Old", C586&gt;=85,"Oldest Old")</f>
        <v>Child</v>
      </c>
      <c r="E586" t="s">
        <v>18</v>
      </c>
      <c r="F586" s="4">
        <v>45873</v>
      </c>
      <c r="G586" s="4">
        <v>45877</v>
      </c>
      <c r="H586" s="7">
        <f t="shared" si="27"/>
        <v>4</v>
      </c>
      <c r="I586" t="s">
        <v>49</v>
      </c>
      <c r="J586" t="s">
        <v>120</v>
      </c>
      <c r="K586" s="2">
        <v>4827.5</v>
      </c>
      <c r="L586" s="9">
        <v>0.8</v>
      </c>
      <c r="M586" s="15">
        <f t="shared" si="28"/>
        <v>3862</v>
      </c>
      <c r="N586" s="15">
        <f t="shared" si="29"/>
        <v>965.5</v>
      </c>
      <c r="O586" t="s">
        <v>25</v>
      </c>
    </row>
    <row r="587" spans="1:15" hidden="1" x14ac:dyDescent="0.35">
      <c r="A587" t="s">
        <v>1111</v>
      </c>
      <c r="B587" t="s">
        <v>449</v>
      </c>
      <c r="C587">
        <v>19</v>
      </c>
      <c r="D587" s="8" t="str" cm="1">
        <f t="array" ref="D587">_xlfn.IFS(C587&lt;=2, "Infant", C587&lt;=11, "Child", C587&lt;=17, "Adolescent", C587&lt;=44, "Young Adult", C587&lt;=64, "Middle Aged", C587&lt;=84,"Young Old", C587&gt;=85,"Oldest Old")</f>
        <v>Young Adult</v>
      </c>
      <c r="E587" t="s">
        <v>12</v>
      </c>
      <c r="F587" s="4">
        <v>45850</v>
      </c>
      <c r="G587" s="4">
        <v>45853</v>
      </c>
      <c r="H587" s="7">
        <f t="shared" si="27"/>
        <v>3</v>
      </c>
      <c r="I587" t="s">
        <v>23</v>
      </c>
      <c r="J587" t="s">
        <v>28</v>
      </c>
      <c r="K587" s="2">
        <v>6858.75</v>
      </c>
      <c r="L587" s="9">
        <v>0.8</v>
      </c>
      <c r="M587" s="15">
        <f t="shared" si="28"/>
        <v>5487</v>
      </c>
      <c r="N587" s="15">
        <f t="shared" si="29"/>
        <v>1371.75</v>
      </c>
      <c r="O587" t="s">
        <v>20</v>
      </c>
    </row>
    <row r="588" spans="1:15" hidden="1" x14ac:dyDescent="0.35">
      <c r="A588" t="s">
        <v>1112</v>
      </c>
      <c r="B588" t="s">
        <v>1113</v>
      </c>
      <c r="C588">
        <v>9</v>
      </c>
      <c r="D588" s="8" t="str" cm="1">
        <f t="array" ref="D588">_xlfn.IFS(C588&lt;=2, "Infant", C588&lt;=11, "Child", C588&lt;=17, "Adolescent", C588&lt;=44, "Young Adult", C588&lt;=64, "Middle Aged", C588&lt;=84,"Young Old", C588&gt;=85,"Oldest Old")</f>
        <v>Child</v>
      </c>
      <c r="E588" t="s">
        <v>18</v>
      </c>
      <c r="F588" s="4">
        <v>45612</v>
      </c>
      <c r="G588" s="4">
        <v>45617</v>
      </c>
      <c r="H588" s="7">
        <f t="shared" si="27"/>
        <v>5</v>
      </c>
      <c r="I588" t="s">
        <v>49</v>
      </c>
      <c r="J588" t="s">
        <v>123</v>
      </c>
      <c r="K588" s="2">
        <v>6485.39</v>
      </c>
      <c r="L588" s="9">
        <v>0.7</v>
      </c>
      <c r="M588" s="15">
        <f t="shared" si="28"/>
        <v>4539.7730000000001</v>
      </c>
      <c r="N588" s="15">
        <f t="shared" si="29"/>
        <v>1945.6170000000002</v>
      </c>
      <c r="O588" t="s">
        <v>25</v>
      </c>
    </row>
    <row r="589" spans="1:15" hidden="1" x14ac:dyDescent="0.35">
      <c r="A589" t="s">
        <v>1114</v>
      </c>
      <c r="B589" t="s">
        <v>1115</v>
      </c>
      <c r="C589">
        <v>71</v>
      </c>
      <c r="D589" s="8" t="str" cm="1">
        <f t="array" ref="D589">_xlfn.IFS(C589&lt;=2, "Infant", C589&lt;=11, "Child", C589&lt;=17, "Adolescent", C589&lt;=44, "Young Adult", C589&lt;=64, "Middle Aged", C589&lt;=84,"Young Old", C589&gt;=85,"Oldest Old")</f>
        <v>Young Old</v>
      </c>
      <c r="E589" t="s">
        <v>12</v>
      </c>
      <c r="F589" s="4">
        <v>45498</v>
      </c>
      <c r="G589" s="4">
        <v>45502</v>
      </c>
      <c r="H589" s="7">
        <f t="shared" si="27"/>
        <v>4</v>
      </c>
      <c r="I589" t="s">
        <v>31</v>
      </c>
      <c r="J589" t="s">
        <v>53</v>
      </c>
      <c r="K589" s="2">
        <v>5888.84</v>
      </c>
      <c r="L589" s="9">
        <v>0.6</v>
      </c>
      <c r="M589" s="15">
        <f t="shared" si="28"/>
        <v>3533.3040000000001</v>
      </c>
      <c r="N589" s="15">
        <f t="shared" si="29"/>
        <v>2355.5360000000001</v>
      </c>
      <c r="O589" t="s">
        <v>15</v>
      </c>
    </row>
    <row r="590" spans="1:15" hidden="1" x14ac:dyDescent="0.35">
      <c r="A590" t="s">
        <v>1116</v>
      </c>
      <c r="B590" t="s">
        <v>1117</v>
      </c>
      <c r="C590">
        <v>57</v>
      </c>
      <c r="D590" s="8" t="str" cm="1">
        <f t="array" ref="D590">_xlfn.IFS(C590&lt;=2, "Infant", C590&lt;=11, "Child", C590&lt;=17, "Adolescent", C590&lt;=44, "Young Adult", C590&lt;=64, "Middle Aged", C590&lt;=84,"Young Old", C590&gt;=85,"Oldest Old")</f>
        <v>Middle Aged</v>
      </c>
      <c r="E590" t="s">
        <v>12</v>
      </c>
      <c r="F590" s="4">
        <v>45748</v>
      </c>
      <c r="G590" s="4">
        <v>45749</v>
      </c>
      <c r="H590" s="7">
        <f t="shared" si="27"/>
        <v>1</v>
      </c>
      <c r="I590" t="s">
        <v>31</v>
      </c>
      <c r="J590" t="s">
        <v>114</v>
      </c>
      <c r="K590" s="2">
        <v>988.37</v>
      </c>
      <c r="L590" s="9">
        <v>0.9</v>
      </c>
      <c r="M590" s="15">
        <f t="shared" si="28"/>
        <v>889.53300000000002</v>
      </c>
      <c r="N590" s="15">
        <f t="shared" si="29"/>
        <v>98.836999999999989</v>
      </c>
      <c r="O590" t="s">
        <v>15</v>
      </c>
    </row>
    <row r="591" spans="1:15" hidden="1" x14ac:dyDescent="0.35">
      <c r="A591" t="s">
        <v>1118</v>
      </c>
      <c r="B591" t="s">
        <v>1119</v>
      </c>
      <c r="C591">
        <v>41</v>
      </c>
      <c r="D591" s="8" t="str" cm="1">
        <f t="array" ref="D591">_xlfn.IFS(C591&lt;=2, "Infant", C591&lt;=11, "Child", C591&lt;=17, "Adolescent", C591&lt;=44, "Young Adult", C591&lt;=64, "Middle Aged", C591&lt;=84,"Young Old", C591&gt;=85,"Oldest Old")</f>
        <v>Young Adult</v>
      </c>
      <c r="E591" t="s">
        <v>12</v>
      </c>
      <c r="F591" s="4">
        <v>45304</v>
      </c>
      <c r="G591" s="4">
        <v>45317</v>
      </c>
      <c r="H591" s="7">
        <f t="shared" si="27"/>
        <v>13</v>
      </c>
      <c r="I591" t="s">
        <v>60</v>
      </c>
      <c r="J591" t="s">
        <v>133</v>
      </c>
      <c r="K591" s="2">
        <v>20871.689999999999</v>
      </c>
      <c r="L591" s="9">
        <v>0.6</v>
      </c>
      <c r="M591" s="15">
        <f t="shared" si="28"/>
        <v>12523.013999999999</v>
      </c>
      <c r="N591" s="15">
        <f t="shared" si="29"/>
        <v>8348.6759999999995</v>
      </c>
      <c r="O591" t="s">
        <v>25</v>
      </c>
    </row>
    <row r="592" spans="1:15" hidden="1" x14ac:dyDescent="0.35">
      <c r="A592" t="s">
        <v>1120</v>
      </c>
      <c r="B592" t="s">
        <v>1121</v>
      </c>
      <c r="C592">
        <v>44</v>
      </c>
      <c r="D592" s="8" t="str" cm="1">
        <f t="array" ref="D592">_xlfn.IFS(C592&lt;=2, "Infant", C592&lt;=11, "Child", C592&lt;=17, "Adolescent", C592&lt;=44, "Young Adult", C592&lt;=64, "Middle Aged", C592&lt;=84,"Young Old", C592&gt;=85,"Oldest Old")</f>
        <v>Young Adult</v>
      </c>
      <c r="E592" t="s">
        <v>18</v>
      </c>
      <c r="F592" s="4">
        <v>45926</v>
      </c>
      <c r="G592" s="4">
        <v>45932</v>
      </c>
      <c r="H592" s="7">
        <f t="shared" si="27"/>
        <v>6</v>
      </c>
      <c r="I592" t="s">
        <v>70</v>
      </c>
      <c r="J592" t="s">
        <v>157</v>
      </c>
      <c r="K592" s="2">
        <v>14061.87</v>
      </c>
      <c r="L592" s="9">
        <v>0.5</v>
      </c>
      <c r="M592" s="15">
        <f t="shared" si="28"/>
        <v>7030.9350000000004</v>
      </c>
      <c r="N592" s="15">
        <f t="shared" si="29"/>
        <v>7030.9350000000004</v>
      </c>
      <c r="O592" t="s">
        <v>15</v>
      </c>
    </row>
    <row r="593" spans="1:15" hidden="1" x14ac:dyDescent="0.35">
      <c r="A593" t="s">
        <v>1122</v>
      </c>
      <c r="B593" t="s">
        <v>1123</v>
      </c>
      <c r="C593">
        <v>74</v>
      </c>
      <c r="D593" s="8" t="str" cm="1">
        <f t="array" ref="D593">_xlfn.IFS(C593&lt;=2, "Infant", C593&lt;=11, "Child", C593&lt;=17, "Adolescent", C593&lt;=44, "Young Adult", C593&lt;=64, "Middle Aged", C593&lt;=84,"Young Old", C593&gt;=85,"Oldest Old")</f>
        <v>Young Old</v>
      </c>
      <c r="E593" t="s">
        <v>12</v>
      </c>
      <c r="F593" s="4">
        <v>45559</v>
      </c>
      <c r="G593" s="4">
        <v>45562</v>
      </c>
      <c r="H593" s="7">
        <f t="shared" si="27"/>
        <v>3</v>
      </c>
      <c r="I593" t="s">
        <v>31</v>
      </c>
      <c r="J593" t="s">
        <v>35</v>
      </c>
      <c r="K593" s="2">
        <v>3702.92</v>
      </c>
      <c r="L593" s="9">
        <v>0.7</v>
      </c>
      <c r="M593" s="15">
        <f t="shared" si="28"/>
        <v>2592.0439999999999</v>
      </c>
      <c r="N593" s="15">
        <f t="shared" si="29"/>
        <v>1110.8760000000002</v>
      </c>
      <c r="O593" t="s">
        <v>20</v>
      </c>
    </row>
    <row r="594" spans="1:15" hidden="1" x14ac:dyDescent="0.35">
      <c r="A594" t="s">
        <v>1124</v>
      </c>
      <c r="B594" t="s">
        <v>1125</v>
      </c>
      <c r="C594">
        <v>42</v>
      </c>
      <c r="D594" s="8" t="str" cm="1">
        <f t="array" ref="D594">_xlfn.IFS(C594&lt;=2, "Infant", C594&lt;=11, "Child", C594&lt;=17, "Adolescent", C594&lt;=44, "Young Adult", C594&lt;=64, "Middle Aged", C594&lt;=84,"Young Old", C594&gt;=85,"Oldest Old")</f>
        <v>Young Adult</v>
      </c>
      <c r="E594" t="s">
        <v>12</v>
      </c>
      <c r="F594" s="4">
        <v>45382</v>
      </c>
      <c r="G594" s="4">
        <v>45386</v>
      </c>
      <c r="H594" s="7">
        <f t="shared" si="27"/>
        <v>4</v>
      </c>
      <c r="I594" t="s">
        <v>13</v>
      </c>
      <c r="J594" t="s">
        <v>102</v>
      </c>
      <c r="K594" s="2">
        <v>6940.9</v>
      </c>
      <c r="L594" s="9">
        <v>0.7</v>
      </c>
      <c r="M594" s="15">
        <f t="shared" si="28"/>
        <v>4858.6299999999992</v>
      </c>
      <c r="N594" s="15">
        <f t="shared" si="29"/>
        <v>2082.2700000000004</v>
      </c>
      <c r="O594" t="s">
        <v>15</v>
      </c>
    </row>
    <row r="595" spans="1:15" hidden="1" x14ac:dyDescent="0.35">
      <c r="A595" t="s">
        <v>1126</v>
      </c>
      <c r="B595" t="s">
        <v>941</v>
      </c>
      <c r="C595">
        <v>74</v>
      </c>
      <c r="D595" s="8" t="str" cm="1">
        <f t="array" ref="D595">_xlfn.IFS(C595&lt;=2, "Infant", C595&lt;=11, "Child", C595&lt;=17, "Adolescent", C595&lt;=44, "Young Adult", C595&lt;=64, "Middle Aged", C595&lt;=84,"Young Old", C595&gt;=85,"Oldest Old")</f>
        <v>Young Old</v>
      </c>
      <c r="E595" t="s">
        <v>12</v>
      </c>
      <c r="F595" s="4">
        <v>45849</v>
      </c>
      <c r="G595" s="4">
        <v>45858</v>
      </c>
      <c r="H595" s="7">
        <f t="shared" si="27"/>
        <v>9</v>
      </c>
      <c r="I595" t="s">
        <v>13</v>
      </c>
      <c r="J595" t="s">
        <v>19</v>
      </c>
      <c r="K595" s="2">
        <v>25312.2</v>
      </c>
      <c r="L595" s="9">
        <v>0.7</v>
      </c>
      <c r="M595" s="15">
        <f t="shared" si="28"/>
        <v>17718.54</v>
      </c>
      <c r="N595" s="15">
        <f t="shared" si="29"/>
        <v>7593.66</v>
      </c>
      <c r="O595" t="s">
        <v>20</v>
      </c>
    </row>
    <row r="596" spans="1:15" hidden="1" x14ac:dyDescent="0.35">
      <c r="A596" t="s">
        <v>1127</v>
      </c>
      <c r="B596" t="s">
        <v>1128</v>
      </c>
      <c r="C596">
        <v>20</v>
      </c>
      <c r="D596" s="8" t="str" cm="1">
        <f t="array" ref="D596">_xlfn.IFS(C596&lt;=2, "Infant", C596&lt;=11, "Child", C596&lt;=17, "Adolescent", C596&lt;=44, "Young Adult", C596&lt;=64, "Middle Aged", C596&lt;=84,"Young Old", C596&gt;=85,"Oldest Old")</f>
        <v>Young Adult</v>
      </c>
      <c r="E596" t="s">
        <v>12</v>
      </c>
      <c r="F596" s="4">
        <v>45739</v>
      </c>
      <c r="G596" s="4">
        <v>45742</v>
      </c>
      <c r="H596" s="7">
        <f t="shared" si="27"/>
        <v>3</v>
      </c>
      <c r="I596" t="s">
        <v>23</v>
      </c>
      <c r="J596" t="s">
        <v>204</v>
      </c>
      <c r="K596" s="2">
        <v>4859.2700000000004</v>
      </c>
      <c r="L596" s="9">
        <v>0.6</v>
      </c>
      <c r="M596" s="15">
        <f t="shared" si="28"/>
        <v>2915.5620000000004</v>
      </c>
      <c r="N596" s="15">
        <f t="shared" si="29"/>
        <v>1943.7080000000001</v>
      </c>
      <c r="O596" t="s">
        <v>20</v>
      </c>
    </row>
    <row r="597" spans="1:15" hidden="1" x14ac:dyDescent="0.35">
      <c r="A597" t="s">
        <v>1129</v>
      </c>
      <c r="B597" t="s">
        <v>1130</v>
      </c>
      <c r="C597">
        <v>7</v>
      </c>
      <c r="D597" s="8" t="str" cm="1">
        <f t="array" ref="D597">_xlfn.IFS(C597&lt;=2, "Infant", C597&lt;=11, "Child", C597&lt;=17, "Adolescent", C597&lt;=44, "Young Adult", C597&lt;=64, "Middle Aged", C597&lt;=84,"Young Old", C597&gt;=85,"Oldest Old")</f>
        <v>Child</v>
      </c>
      <c r="E597" t="s">
        <v>18</v>
      </c>
      <c r="F597" s="4">
        <v>45654</v>
      </c>
      <c r="G597" s="4">
        <v>45658</v>
      </c>
      <c r="H597" s="7">
        <f t="shared" si="27"/>
        <v>4</v>
      </c>
      <c r="I597" t="s">
        <v>49</v>
      </c>
      <c r="J597" t="s">
        <v>130</v>
      </c>
      <c r="K597" s="2">
        <v>5071.3900000000003</v>
      </c>
      <c r="L597" s="9">
        <v>0.9</v>
      </c>
      <c r="M597" s="15">
        <f t="shared" si="28"/>
        <v>4564.2510000000002</v>
      </c>
      <c r="N597" s="15">
        <f t="shared" si="29"/>
        <v>507.13900000000012</v>
      </c>
      <c r="O597" t="s">
        <v>25</v>
      </c>
    </row>
    <row r="598" spans="1:15" hidden="1" x14ac:dyDescent="0.35">
      <c r="A598" t="s">
        <v>1131</v>
      </c>
      <c r="B598" t="s">
        <v>1132</v>
      </c>
      <c r="C598">
        <v>46</v>
      </c>
      <c r="D598" s="8" t="str" cm="1">
        <f t="array" ref="D598">_xlfn.IFS(C598&lt;=2, "Infant", C598&lt;=11, "Child", C598&lt;=17, "Adolescent", C598&lt;=44, "Young Adult", C598&lt;=64, "Middle Aged", C598&lt;=84,"Young Old", C598&gt;=85,"Oldest Old")</f>
        <v>Middle Aged</v>
      </c>
      <c r="E598" t="s">
        <v>18</v>
      </c>
      <c r="F598" s="4">
        <v>45394</v>
      </c>
      <c r="G598" s="4">
        <v>45395</v>
      </c>
      <c r="H598" s="7">
        <f t="shared" si="27"/>
        <v>1</v>
      </c>
      <c r="I598" t="s">
        <v>31</v>
      </c>
      <c r="J598" t="s">
        <v>44</v>
      </c>
      <c r="K598" s="2">
        <v>826.69</v>
      </c>
      <c r="L598" s="9">
        <v>0.8</v>
      </c>
      <c r="M598" s="15">
        <f t="shared" si="28"/>
        <v>661.35200000000009</v>
      </c>
      <c r="N598" s="15">
        <f t="shared" si="29"/>
        <v>165.33799999999997</v>
      </c>
      <c r="O598" t="s">
        <v>15</v>
      </c>
    </row>
    <row r="599" spans="1:15" hidden="1" x14ac:dyDescent="0.35">
      <c r="A599" t="s">
        <v>1133</v>
      </c>
      <c r="B599" t="s">
        <v>877</v>
      </c>
      <c r="C599">
        <v>75</v>
      </c>
      <c r="D599" s="8" t="str" cm="1">
        <f t="array" ref="D599">_xlfn.IFS(C599&lt;=2, "Infant", C599&lt;=11, "Child", C599&lt;=17, "Adolescent", C599&lt;=44, "Young Adult", C599&lt;=64, "Middle Aged", C599&lt;=84,"Young Old", C599&gt;=85,"Oldest Old")</f>
        <v>Young Old</v>
      </c>
      <c r="E599" t="s">
        <v>12</v>
      </c>
      <c r="F599" s="4">
        <v>45466</v>
      </c>
      <c r="G599" s="4">
        <v>45469</v>
      </c>
      <c r="H599" s="7">
        <f t="shared" si="27"/>
        <v>3</v>
      </c>
      <c r="I599" t="s">
        <v>23</v>
      </c>
      <c r="J599" t="s">
        <v>24</v>
      </c>
      <c r="K599" s="2">
        <v>3573.44</v>
      </c>
      <c r="L599" s="9">
        <v>0.8</v>
      </c>
      <c r="M599" s="15">
        <f t="shared" si="28"/>
        <v>2858.7520000000004</v>
      </c>
      <c r="N599" s="15">
        <f t="shared" si="29"/>
        <v>714.68799999999965</v>
      </c>
      <c r="O599" t="s">
        <v>15</v>
      </c>
    </row>
    <row r="600" spans="1:15" hidden="1" x14ac:dyDescent="0.35">
      <c r="A600" t="s">
        <v>1134</v>
      </c>
      <c r="B600" t="s">
        <v>1135</v>
      </c>
      <c r="C600">
        <v>17</v>
      </c>
      <c r="D600" s="8" t="str" cm="1">
        <f t="array" ref="D600">_xlfn.IFS(C600&lt;=2, "Infant", C600&lt;=11, "Child", C600&lt;=17, "Adolescent", C600&lt;=44, "Young Adult", C600&lt;=64, "Middle Aged", C600&lt;=84,"Young Old", C600&gt;=85,"Oldest Old")</f>
        <v>Adolescent</v>
      </c>
      <c r="E600" t="s">
        <v>18</v>
      </c>
      <c r="F600" s="4">
        <v>45621</v>
      </c>
      <c r="G600" s="4">
        <v>45623</v>
      </c>
      <c r="H600" s="7">
        <f t="shared" si="27"/>
        <v>2</v>
      </c>
      <c r="I600" t="s">
        <v>49</v>
      </c>
      <c r="J600" t="s">
        <v>130</v>
      </c>
      <c r="K600" s="2">
        <v>3120.86</v>
      </c>
      <c r="L600" s="9">
        <v>0.7</v>
      </c>
      <c r="M600" s="15">
        <f t="shared" si="28"/>
        <v>2184.6019999999999</v>
      </c>
      <c r="N600" s="15">
        <f t="shared" si="29"/>
        <v>936.25800000000027</v>
      </c>
      <c r="O600" t="s">
        <v>15</v>
      </c>
    </row>
    <row r="601" spans="1:15" hidden="1" x14ac:dyDescent="0.35">
      <c r="A601" t="s">
        <v>1136</v>
      </c>
      <c r="B601" t="s">
        <v>1137</v>
      </c>
      <c r="C601">
        <v>36</v>
      </c>
      <c r="D601" s="8" t="str" cm="1">
        <f t="array" ref="D601">_xlfn.IFS(C601&lt;=2, "Infant", C601&lt;=11, "Child", C601&lt;=17, "Adolescent", C601&lt;=44, "Young Adult", C601&lt;=64, "Middle Aged", C601&lt;=84,"Young Old", C601&gt;=85,"Oldest Old")</f>
        <v>Young Adult</v>
      </c>
      <c r="E601" t="s">
        <v>18</v>
      </c>
      <c r="F601" s="4">
        <v>45741</v>
      </c>
      <c r="G601" s="4">
        <v>45742</v>
      </c>
      <c r="H601" s="7">
        <f t="shared" si="27"/>
        <v>1</v>
      </c>
      <c r="I601" t="s">
        <v>23</v>
      </c>
      <c r="J601" t="s">
        <v>221</v>
      </c>
      <c r="K601" s="2">
        <v>1050.82</v>
      </c>
      <c r="L601" s="9">
        <v>0.7</v>
      </c>
      <c r="M601" s="15">
        <f t="shared" si="28"/>
        <v>735.57399999999996</v>
      </c>
      <c r="N601" s="15">
        <f t="shared" si="29"/>
        <v>315.24599999999998</v>
      </c>
      <c r="O601" t="s">
        <v>20</v>
      </c>
    </row>
    <row r="602" spans="1:15" hidden="1" x14ac:dyDescent="0.35">
      <c r="A602" t="s">
        <v>1138</v>
      </c>
      <c r="B602" t="s">
        <v>1139</v>
      </c>
      <c r="C602">
        <v>58</v>
      </c>
      <c r="D602" s="8" t="str" cm="1">
        <f t="array" ref="D602">_xlfn.IFS(C602&lt;=2, "Infant", C602&lt;=11, "Child", C602&lt;=17, "Adolescent", C602&lt;=44, "Young Adult", C602&lt;=64, "Middle Aged", C602&lt;=84,"Young Old", C602&gt;=85,"Oldest Old")</f>
        <v>Middle Aged</v>
      </c>
      <c r="E602" t="s">
        <v>18</v>
      </c>
      <c r="F602" s="4">
        <v>45368</v>
      </c>
      <c r="G602" s="4">
        <v>45371</v>
      </c>
      <c r="H602" s="7">
        <f t="shared" si="27"/>
        <v>3</v>
      </c>
      <c r="I602" t="s">
        <v>23</v>
      </c>
      <c r="J602" t="s">
        <v>24</v>
      </c>
      <c r="K602" s="2">
        <v>4246.95</v>
      </c>
      <c r="L602" s="9">
        <v>0.7</v>
      </c>
      <c r="M602" s="15">
        <f t="shared" si="28"/>
        <v>2972.8649999999998</v>
      </c>
      <c r="N602" s="15">
        <f t="shared" si="29"/>
        <v>1274.085</v>
      </c>
      <c r="O602" t="s">
        <v>25</v>
      </c>
    </row>
    <row r="603" spans="1:15" hidden="1" x14ac:dyDescent="0.35">
      <c r="A603" t="s">
        <v>1140</v>
      </c>
      <c r="B603" t="s">
        <v>1141</v>
      </c>
      <c r="C603">
        <v>24</v>
      </c>
      <c r="D603" s="8" t="str" cm="1">
        <f t="array" ref="D603">_xlfn.IFS(C603&lt;=2, "Infant", C603&lt;=11, "Child", C603&lt;=17, "Adolescent", C603&lt;=44, "Young Adult", C603&lt;=64, "Middle Aged", C603&lt;=84,"Young Old", C603&gt;=85,"Oldest Old")</f>
        <v>Young Adult</v>
      </c>
      <c r="E603" t="s">
        <v>12</v>
      </c>
      <c r="F603" s="4">
        <v>45918</v>
      </c>
      <c r="G603" s="4">
        <v>45921</v>
      </c>
      <c r="H603" s="7">
        <f t="shared" si="27"/>
        <v>3</v>
      </c>
      <c r="I603" t="s">
        <v>23</v>
      </c>
      <c r="J603" t="s">
        <v>333</v>
      </c>
      <c r="K603" s="2">
        <v>3111.41</v>
      </c>
      <c r="L603" s="9">
        <v>0.9</v>
      </c>
      <c r="M603" s="15">
        <f t="shared" si="28"/>
        <v>2800.2689999999998</v>
      </c>
      <c r="N603" s="15">
        <f t="shared" si="29"/>
        <v>311.14100000000008</v>
      </c>
      <c r="O603" t="s">
        <v>15</v>
      </c>
    </row>
    <row r="604" spans="1:15" x14ac:dyDescent="0.35">
      <c r="A604" t="s">
        <v>1142</v>
      </c>
      <c r="B604" t="s">
        <v>439</v>
      </c>
      <c r="C604">
        <v>56</v>
      </c>
      <c r="D604" s="8" t="str" cm="1">
        <f t="array" ref="D604">_xlfn.IFS(C604&lt;=2, "Infant", C604&lt;=11, "Child", C604&lt;=17, "Adolescent", C604&lt;=44, "Young Adult", C604&lt;=64, "Middle Aged", C604&lt;=84,"Young Old", C604&gt;=85,"Oldest Old")</f>
        <v>Middle Aged</v>
      </c>
      <c r="E604" t="s">
        <v>18</v>
      </c>
      <c r="F604" s="4">
        <v>45630</v>
      </c>
      <c r="G604" s="4">
        <v>45635</v>
      </c>
      <c r="H604" s="7">
        <f t="shared" si="27"/>
        <v>5</v>
      </c>
      <c r="I604" t="s">
        <v>31</v>
      </c>
      <c r="J604" t="s">
        <v>32</v>
      </c>
      <c r="K604" s="2">
        <v>6980.98</v>
      </c>
      <c r="L604" s="9">
        <v>0.9</v>
      </c>
      <c r="M604" s="15">
        <f t="shared" si="28"/>
        <v>6282.8819999999996</v>
      </c>
      <c r="N604" s="15">
        <f t="shared" si="29"/>
        <v>698.09799999999996</v>
      </c>
      <c r="O604" t="s">
        <v>15</v>
      </c>
    </row>
    <row r="605" spans="1:15" hidden="1" x14ac:dyDescent="0.35">
      <c r="A605" t="s">
        <v>1143</v>
      </c>
      <c r="B605" t="s">
        <v>1144</v>
      </c>
      <c r="C605">
        <v>41</v>
      </c>
      <c r="D605" s="8" t="str" cm="1">
        <f t="array" ref="D605">_xlfn.IFS(C605&lt;=2, "Infant", C605&lt;=11, "Child", C605&lt;=17, "Adolescent", C605&lt;=44, "Young Adult", C605&lt;=64, "Middle Aged", C605&lt;=84,"Young Old", C605&gt;=85,"Oldest Old")</f>
        <v>Young Adult</v>
      </c>
      <c r="E605" t="s">
        <v>12</v>
      </c>
      <c r="F605" s="4">
        <v>45330</v>
      </c>
      <c r="G605" s="4">
        <v>45339</v>
      </c>
      <c r="H605" s="7">
        <f t="shared" si="27"/>
        <v>9</v>
      </c>
      <c r="I605" t="s">
        <v>70</v>
      </c>
      <c r="J605" t="s">
        <v>194</v>
      </c>
      <c r="K605" s="2">
        <v>11620.41</v>
      </c>
      <c r="L605" s="9">
        <v>1</v>
      </c>
      <c r="M605" s="15">
        <f t="shared" si="28"/>
        <v>11620.41</v>
      </c>
      <c r="N605" s="15">
        <f t="shared" si="29"/>
        <v>0</v>
      </c>
      <c r="O605" t="s">
        <v>15</v>
      </c>
    </row>
    <row r="606" spans="1:15" hidden="1" x14ac:dyDescent="0.35">
      <c r="A606" t="s">
        <v>1145</v>
      </c>
      <c r="B606" t="s">
        <v>843</v>
      </c>
      <c r="C606">
        <v>50</v>
      </c>
      <c r="D606" s="8" t="str" cm="1">
        <f t="array" ref="D606">_xlfn.IFS(C606&lt;=2, "Infant", C606&lt;=11, "Child", C606&lt;=17, "Adolescent", C606&lt;=44, "Young Adult", C606&lt;=64, "Middle Aged", C606&lt;=84,"Young Old", C606&gt;=85,"Oldest Old")</f>
        <v>Middle Aged</v>
      </c>
      <c r="E606" t="s">
        <v>18</v>
      </c>
      <c r="F606" s="4">
        <v>45860</v>
      </c>
      <c r="G606" s="4">
        <v>45863</v>
      </c>
      <c r="H606" s="7">
        <f t="shared" si="27"/>
        <v>3</v>
      </c>
      <c r="I606" t="s">
        <v>23</v>
      </c>
      <c r="J606" t="s">
        <v>28</v>
      </c>
      <c r="K606" s="2">
        <v>3974.41</v>
      </c>
      <c r="L606" s="9">
        <v>0.5</v>
      </c>
      <c r="M606" s="15">
        <f t="shared" si="28"/>
        <v>1987.2049999999999</v>
      </c>
      <c r="N606" s="15">
        <f t="shared" si="29"/>
        <v>1987.2049999999999</v>
      </c>
      <c r="O606" t="s">
        <v>15</v>
      </c>
    </row>
    <row r="607" spans="1:15" hidden="1" x14ac:dyDescent="0.35">
      <c r="A607" t="s">
        <v>1146</v>
      </c>
      <c r="B607" t="s">
        <v>486</v>
      </c>
      <c r="C607">
        <v>72</v>
      </c>
      <c r="D607" s="8" t="str" cm="1">
        <f t="array" ref="D607">_xlfn.IFS(C607&lt;=2, "Infant", C607&lt;=11, "Child", C607&lt;=17, "Adolescent", C607&lt;=44, "Young Adult", C607&lt;=64, "Middle Aged", C607&lt;=84,"Young Old", C607&gt;=85,"Oldest Old")</f>
        <v>Young Old</v>
      </c>
      <c r="E607" t="s">
        <v>12</v>
      </c>
      <c r="F607" s="4">
        <v>45453</v>
      </c>
      <c r="G607" s="4">
        <v>45459</v>
      </c>
      <c r="H607" s="7">
        <f t="shared" si="27"/>
        <v>6</v>
      </c>
      <c r="I607" t="s">
        <v>70</v>
      </c>
      <c r="J607" t="s">
        <v>157</v>
      </c>
      <c r="K607" s="2">
        <v>14702.17</v>
      </c>
      <c r="L607" s="9">
        <v>0.8</v>
      </c>
      <c r="M607" s="15">
        <f t="shared" si="28"/>
        <v>11761.736000000001</v>
      </c>
      <c r="N607" s="15">
        <f t="shared" si="29"/>
        <v>2940.4339999999993</v>
      </c>
      <c r="O607" t="s">
        <v>20</v>
      </c>
    </row>
    <row r="608" spans="1:15" hidden="1" x14ac:dyDescent="0.35">
      <c r="A608" t="s">
        <v>1147</v>
      </c>
      <c r="B608" t="s">
        <v>1148</v>
      </c>
      <c r="C608">
        <v>41</v>
      </c>
      <c r="D608" s="8" t="str" cm="1">
        <f t="array" ref="D608">_xlfn.IFS(C608&lt;=2, "Infant", C608&lt;=11, "Child", C608&lt;=17, "Adolescent", C608&lt;=44, "Young Adult", C608&lt;=64, "Middle Aged", C608&lt;=84,"Young Old", C608&gt;=85,"Oldest Old")</f>
        <v>Young Adult</v>
      </c>
      <c r="E608" t="s">
        <v>12</v>
      </c>
      <c r="F608" s="4">
        <v>45795</v>
      </c>
      <c r="G608" s="4">
        <v>45802</v>
      </c>
      <c r="H608" s="7">
        <f t="shared" si="27"/>
        <v>7</v>
      </c>
      <c r="I608" t="s">
        <v>13</v>
      </c>
      <c r="J608" t="s">
        <v>165</v>
      </c>
      <c r="K608" s="2">
        <v>17086.830000000002</v>
      </c>
      <c r="L608" s="9">
        <v>0.9</v>
      </c>
      <c r="M608" s="15">
        <f t="shared" si="28"/>
        <v>15378.147000000003</v>
      </c>
      <c r="N608" s="15">
        <f t="shared" si="29"/>
        <v>1708.6829999999991</v>
      </c>
      <c r="O608" t="s">
        <v>15</v>
      </c>
    </row>
    <row r="609" spans="1:15" hidden="1" x14ac:dyDescent="0.35">
      <c r="A609" t="s">
        <v>1149</v>
      </c>
      <c r="B609" t="s">
        <v>820</v>
      </c>
      <c r="C609">
        <v>24</v>
      </c>
      <c r="D609" s="8" t="str" cm="1">
        <f t="array" ref="D609">_xlfn.IFS(C609&lt;=2, "Infant", C609&lt;=11, "Child", C609&lt;=17, "Adolescent", C609&lt;=44, "Young Adult", C609&lt;=64, "Middle Aged", C609&lt;=84,"Young Old", C609&gt;=85,"Oldest Old")</f>
        <v>Young Adult</v>
      </c>
      <c r="E609" t="s">
        <v>12</v>
      </c>
      <c r="F609" s="4">
        <v>45304</v>
      </c>
      <c r="G609" s="4">
        <v>45305</v>
      </c>
      <c r="H609" s="7">
        <f t="shared" si="27"/>
        <v>1</v>
      </c>
      <c r="I609" t="s">
        <v>23</v>
      </c>
      <c r="J609" t="s">
        <v>82</v>
      </c>
      <c r="K609" s="2">
        <v>867.61</v>
      </c>
      <c r="L609" s="9">
        <v>1</v>
      </c>
      <c r="M609" s="15">
        <f t="shared" si="28"/>
        <v>867.61</v>
      </c>
      <c r="N609" s="15">
        <f t="shared" si="29"/>
        <v>0</v>
      </c>
      <c r="O609" t="s">
        <v>15</v>
      </c>
    </row>
    <row r="610" spans="1:15" x14ac:dyDescent="0.35">
      <c r="A610" t="s">
        <v>1150</v>
      </c>
      <c r="B610" t="s">
        <v>1151</v>
      </c>
      <c r="C610">
        <v>51</v>
      </c>
      <c r="D610" s="8" t="str" cm="1">
        <f t="array" ref="D610">_xlfn.IFS(C610&lt;=2, "Infant", C610&lt;=11, "Child", C610&lt;=17, "Adolescent", C610&lt;=44, "Young Adult", C610&lt;=64, "Middle Aged", C610&lt;=84,"Young Old", C610&gt;=85,"Oldest Old")</f>
        <v>Middle Aged</v>
      </c>
      <c r="E610" t="s">
        <v>18</v>
      </c>
      <c r="F610" s="4">
        <v>45764</v>
      </c>
      <c r="G610" s="4">
        <v>45770</v>
      </c>
      <c r="H610" s="7">
        <f t="shared" si="27"/>
        <v>6</v>
      </c>
      <c r="I610" t="s">
        <v>31</v>
      </c>
      <c r="J610" t="s">
        <v>32</v>
      </c>
      <c r="K610" s="2">
        <v>4084.48</v>
      </c>
      <c r="L610" s="9">
        <v>0.8</v>
      </c>
      <c r="M610" s="15">
        <f t="shared" si="28"/>
        <v>3267.5840000000003</v>
      </c>
      <c r="N610" s="15">
        <f t="shared" si="29"/>
        <v>816.89599999999973</v>
      </c>
      <c r="O610" t="s">
        <v>15</v>
      </c>
    </row>
    <row r="611" spans="1:15" hidden="1" x14ac:dyDescent="0.35">
      <c r="A611" t="s">
        <v>1152</v>
      </c>
      <c r="B611" t="s">
        <v>1153</v>
      </c>
      <c r="C611">
        <v>84</v>
      </c>
      <c r="D611" s="8" t="str" cm="1">
        <f t="array" ref="D611">_xlfn.IFS(C611&lt;=2, "Infant", C611&lt;=11, "Child", C611&lt;=17, "Adolescent", C611&lt;=44, "Young Adult", C611&lt;=64, "Middle Aged", C611&lt;=84,"Young Old", C611&gt;=85,"Oldest Old")</f>
        <v>Young Old</v>
      </c>
      <c r="E611" t="s">
        <v>18</v>
      </c>
      <c r="F611" s="4">
        <v>45865</v>
      </c>
      <c r="G611" s="4">
        <v>45866</v>
      </c>
      <c r="H611" s="7">
        <f t="shared" si="27"/>
        <v>1</v>
      </c>
      <c r="I611" t="s">
        <v>31</v>
      </c>
      <c r="J611" t="s">
        <v>35</v>
      </c>
      <c r="K611" s="2">
        <v>1290.53</v>
      </c>
      <c r="L611" s="9">
        <v>0.9</v>
      </c>
      <c r="M611" s="15">
        <f t="shared" si="28"/>
        <v>1161.4770000000001</v>
      </c>
      <c r="N611" s="15">
        <f t="shared" si="29"/>
        <v>129.05299999999988</v>
      </c>
      <c r="O611" t="s">
        <v>15</v>
      </c>
    </row>
    <row r="612" spans="1:15" hidden="1" x14ac:dyDescent="0.35">
      <c r="A612" t="s">
        <v>1154</v>
      </c>
      <c r="B612" t="s">
        <v>721</v>
      </c>
      <c r="C612">
        <v>3</v>
      </c>
      <c r="D612" s="8" t="str" cm="1">
        <f t="array" ref="D612">_xlfn.IFS(C612&lt;=2, "Infant", C612&lt;=11, "Child", C612&lt;=17, "Adolescent", C612&lt;=44, "Young Adult", C612&lt;=64, "Middle Aged", C612&lt;=84,"Young Old", C612&gt;=85,"Oldest Old")</f>
        <v>Child</v>
      </c>
      <c r="E612" t="s">
        <v>18</v>
      </c>
      <c r="F612" s="4">
        <v>45643</v>
      </c>
      <c r="G612" s="4">
        <v>45647</v>
      </c>
      <c r="H612" s="7">
        <f t="shared" si="27"/>
        <v>4</v>
      </c>
      <c r="I612" t="s">
        <v>49</v>
      </c>
      <c r="J612" t="s">
        <v>123</v>
      </c>
      <c r="K612" s="2">
        <v>3707.94</v>
      </c>
      <c r="L612" s="9">
        <v>0.9</v>
      </c>
      <c r="M612" s="15">
        <f t="shared" si="28"/>
        <v>3337.1460000000002</v>
      </c>
      <c r="N612" s="15">
        <f t="shared" si="29"/>
        <v>370.79399999999987</v>
      </c>
      <c r="O612" t="s">
        <v>15</v>
      </c>
    </row>
    <row r="613" spans="1:15" hidden="1" x14ac:dyDescent="0.35">
      <c r="A613" t="s">
        <v>1155</v>
      </c>
      <c r="B613" t="s">
        <v>1156</v>
      </c>
      <c r="C613">
        <v>57</v>
      </c>
      <c r="D613" s="8" t="str" cm="1">
        <f t="array" ref="D613">_xlfn.IFS(C613&lt;=2, "Infant", C613&lt;=11, "Child", C613&lt;=17, "Adolescent", C613&lt;=44, "Young Adult", C613&lt;=64, "Middle Aged", C613&lt;=84,"Young Old", C613&gt;=85,"Oldest Old")</f>
        <v>Middle Aged</v>
      </c>
      <c r="E613" t="s">
        <v>12</v>
      </c>
      <c r="F613" s="4">
        <v>45779</v>
      </c>
      <c r="G613" s="4">
        <v>45788</v>
      </c>
      <c r="H613" s="7">
        <f t="shared" si="27"/>
        <v>9</v>
      </c>
      <c r="I613" t="s">
        <v>70</v>
      </c>
      <c r="J613" t="s">
        <v>71</v>
      </c>
      <c r="K613" s="2">
        <v>15346.13</v>
      </c>
      <c r="L613" s="9">
        <v>0.8</v>
      </c>
      <c r="M613" s="15">
        <f t="shared" si="28"/>
        <v>12276.904</v>
      </c>
      <c r="N613" s="15">
        <f t="shared" si="29"/>
        <v>3069.2259999999987</v>
      </c>
      <c r="O613" t="s">
        <v>15</v>
      </c>
    </row>
    <row r="614" spans="1:15" hidden="1" x14ac:dyDescent="0.35">
      <c r="A614" t="s">
        <v>1157</v>
      </c>
      <c r="B614" t="s">
        <v>1158</v>
      </c>
      <c r="C614">
        <v>45</v>
      </c>
      <c r="D614" s="8" t="str" cm="1">
        <f t="array" ref="D614">_xlfn.IFS(C614&lt;=2, "Infant", C614&lt;=11, "Child", C614&lt;=17, "Adolescent", C614&lt;=44, "Young Adult", C614&lt;=64, "Middle Aged", C614&lt;=84,"Young Old", C614&gt;=85,"Oldest Old")</f>
        <v>Middle Aged</v>
      </c>
      <c r="E614" t="s">
        <v>18</v>
      </c>
      <c r="F614" s="4">
        <v>45749</v>
      </c>
      <c r="G614" s="4">
        <v>45754</v>
      </c>
      <c r="H614" s="7">
        <f t="shared" si="27"/>
        <v>5</v>
      </c>
      <c r="I614" t="s">
        <v>31</v>
      </c>
      <c r="J614" t="s">
        <v>53</v>
      </c>
      <c r="K614" s="2">
        <v>4821.37</v>
      </c>
      <c r="L614" s="9">
        <v>0.8</v>
      </c>
      <c r="M614" s="15">
        <f t="shared" si="28"/>
        <v>3857.096</v>
      </c>
      <c r="N614" s="15">
        <f t="shared" si="29"/>
        <v>964.27399999999989</v>
      </c>
      <c r="O614" t="s">
        <v>15</v>
      </c>
    </row>
    <row r="615" spans="1:15" hidden="1" x14ac:dyDescent="0.35">
      <c r="A615" t="s">
        <v>1159</v>
      </c>
      <c r="B615" t="s">
        <v>1160</v>
      </c>
      <c r="C615">
        <v>69</v>
      </c>
      <c r="D615" s="8" t="str" cm="1">
        <f t="array" ref="D615">_xlfn.IFS(C615&lt;=2, "Infant", C615&lt;=11, "Child", C615&lt;=17, "Adolescent", C615&lt;=44, "Young Adult", C615&lt;=64, "Middle Aged", C615&lt;=84,"Young Old", C615&gt;=85,"Oldest Old")</f>
        <v>Young Old</v>
      </c>
      <c r="E615" t="s">
        <v>12</v>
      </c>
      <c r="F615" s="4">
        <v>45894</v>
      </c>
      <c r="G615" s="4">
        <v>45901</v>
      </c>
      <c r="H615" s="7">
        <f t="shared" si="27"/>
        <v>7</v>
      </c>
      <c r="I615" t="s">
        <v>13</v>
      </c>
      <c r="J615" t="s">
        <v>102</v>
      </c>
      <c r="K615" s="2">
        <v>15787.69</v>
      </c>
      <c r="L615" s="9">
        <v>1</v>
      </c>
      <c r="M615" s="15">
        <f t="shared" si="28"/>
        <v>15787.69</v>
      </c>
      <c r="N615" s="15">
        <f t="shared" si="29"/>
        <v>0</v>
      </c>
      <c r="O615" t="s">
        <v>15</v>
      </c>
    </row>
    <row r="616" spans="1:15" hidden="1" x14ac:dyDescent="0.35">
      <c r="A616" t="s">
        <v>1161</v>
      </c>
      <c r="B616" t="s">
        <v>1095</v>
      </c>
      <c r="C616">
        <v>14</v>
      </c>
      <c r="D616" s="8" t="str" cm="1">
        <f t="array" ref="D616">_xlfn.IFS(C616&lt;=2, "Infant", C616&lt;=11, "Child", C616&lt;=17, "Adolescent", C616&lt;=44, "Young Adult", C616&lt;=64, "Middle Aged", C616&lt;=84,"Young Old", C616&gt;=85,"Oldest Old")</f>
        <v>Adolescent</v>
      </c>
      <c r="E616" t="s">
        <v>18</v>
      </c>
      <c r="F616" s="4">
        <v>45923</v>
      </c>
      <c r="G616" s="4">
        <v>45926</v>
      </c>
      <c r="H616" s="7">
        <f t="shared" si="27"/>
        <v>3</v>
      </c>
      <c r="I616" t="s">
        <v>49</v>
      </c>
      <c r="J616" t="s">
        <v>120</v>
      </c>
      <c r="K616" s="2">
        <v>5118.0600000000004</v>
      </c>
      <c r="L616" s="9">
        <v>0.8</v>
      </c>
      <c r="M616" s="15">
        <f t="shared" si="28"/>
        <v>4094.4480000000003</v>
      </c>
      <c r="N616" s="15">
        <f t="shared" si="29"/>
        <v>1023.6120000000001</v>
      </c>
      <c r="O616" t="s">
        <v>15</v>
      </c>
    </row>
    <row r="617" spans="1:15" hidden="1" x14ac:dyDescent="0.35">
      <c r="A617" t="s">
        <v>1162</v>
      </c>
      <c r="B617" t="s">
        <v>1163</v>
      </c>
      <c r="C617">
        <v>36</v>
      </c>
      <c r="D617" s="8" t="str" cm="1">
        <f t="array" ref="D617">_xlfn.IFS(C617&lt;=2, "Infant", C617&lt;=11, "Child", C617&lt;=17, "Adolescent", C617&lt;=44, "Young Adult", C617&lt;=64, "Middle Aged", C617&lt;=84,"Young Old", C617&gt;=85,"Oldest Old")</f>
        <v>Young Adult</v>
      </c>
      <c r="E617" t="s">
        <v>18</v>
      </c>
      <c r="F617" s="4">
        <v>45643</v>
      </c>
      <c r="G617" s="4">
        <v>45644</v>
      </c>
      <c r="H617" s="7">
        <f t="shared" si="27"/>
        <v>1</v>
      </c>
      <c r="I617" t="s">
        <v>23</v>
      </c>
      <c r="J617" t="s">
        <v>41</v>
      </c>
      <c r="K617" s="2">
        <v>1184.98</v>
      </c>
      <c r="L617" s="9">
        <v>0.8</v>
      </c>
      <c r="M617" s="15">
        <f t="shared" si="28"/>
        <v>947.98400000000004</v>
      </c>
      <c r="N617" s="15">
        <f t="shared" si="29"/>
        <v>236.99599999999998</v>
      </c>
      <c r="O617" t="s">
        <v>15</v>
      </c>
    </row>
    <row r="618" spans="1:15" hidden="1" x14ac:dyDescent="0.35">
      <c r="A618" t="s">
        <v>1164</v>
      </c>
      <c r="B618" t="s">
        <v>1165</v>
      </c>
      <c r="C618">
        <v>16</v>
      </c>
      <c r="D618" s="8" t="str" cm="1">
        <f t="array" ref="D618">_xlfn.IFS(C618&lt;=2, "Infant", C618&lt;=11, "Child", C618&lt;=17, "Adolescent", C618&lt;=44, "Young Adult", C618&lt;=64, "Middle Aged", C618&lt;=84,"Young Old", C618&gt;=85,"Oldest Old")</f>
        <v>Adolescent</v>
      </c>
      <c r="E618" t="s">
        <v>18</v>
      </c>
      <c r="F618" s="4">
        <v>45317</v>
      </c>
      <c r="G618" s="4">
        <v>45320</v>
      </c>
      <c r="H618" s="7">
        <f t="shared" si="27"/>
        <v>3</v>
      </c>
      <c r="I618" t="s">
        <v>49</v>
      </c>
      <c r="J618" t="s">
        <v>378</v>
      </c>
      <c r="K618" s="2">
        <v>2558.2800000000002</v>
      </c>
      <c r="L618" s="9">
        <v>0.9</v>
      </c>
      <c r="M618" s="15">
        <f t="shared" si="28"/>
        <v>2302.4520000000002</v>
      </c>
      <c r="N618" s="15">
        <f t="shared" si="29"/>
        <v>255.82799999999997</v>
      </c>
      <c r="O618" t="s">
        <v>15</v>
      </c>
    </row>
    <row r="619" spans="1:15" hidden="1" x14ac:dyDescent="0.35">
      <c r="A619" t="s">
        <v>1166</v>
      </c>
      <c r="B619" t="s">
        <v>1167</v>
      </c>
      <c r="C619">
        <v>76</v>
      </c>
      <c r="D619" s="8" t="str" cm="1">
        <f t="array" ref="D619">_xlfn.IFS(C619&lt;=2, "Infant", C619&lt;=11, "Child", C619&lt;=17, "Adolescent", C619&lt;=44, "Young Adult", C619&lt;=64, "Middle Aged", C619&lt;=84,"Young Old", C619&gt;=85,"Oldest Old")</f>
        <v>Young Old</v>
      </c>
      <c r="E619" t="s">
        <v>12</v>
      </c>
      <c r="F619" s="4">
        <v>45670</v>
      </c>
      <c r="G619" s="4">
        <v>45673</v>
      </c>
      <c r="H619" s="7">
        <f t="shared" si="27"/>
        <v>3</v>
      </c>
      <c r="I619" t="s">
        <v>13</v>
      </c>
      <c r="J619" t="s">
        <v>111</v>
      </c>
      <c r="K619" s="2">
        <v>3998.34</v>
      </c>
      <c r="L619" s="9">
        <v>1</v>
      </c>
      <c r="M619" s="15">
        <f t="shared" si="28"/>
        <v>3998.34</v>
      </c>
      <c r="N619" s="15">
        <f t="shared" si="29"/>
        <v>0</v>
      </c>
      <c r="O619" t="s">
        <v>15</v>
      </c>
    </row>
    <row r="620" spans="1:15" hidden="1" x14ac:dyDescent="0.35">
      <c r="A620" t="s">
        <v>1168</v>
      </c>
      <c r="B620" t="s">
        <v>229</v>
      </c>
      <c r="C620">
        <v>68</v>
      </c>
      <c r="D620" s="8" t="str" cm="1">
        <f t="array" ref="D620">_xlfn.IFS(C620&lt;=2, "Infant", C620&lt;=11, "Child", C620&lt;=17, "Adolescent", C620&lt;=44, "Young Adult", C620&lt;=64, "Middle Aged", C620&lt;=84,"Young Old", C620&gt;=85,"Oldest Old")</f>
        <v>Young Old</v>
      </c>
      <c r="E620" t="s">
        <v>18</v>
      </c>
      <c r="F620" s="4">
        <v>45626</v>
      </c>
      <c r="G620" s="4">
        <v>45629</v>
      </c>
      <c r="H620" s="7">
        <f t="shared" si="27"/>
        <v>3</v>
      </c>
      <c r="I620" t="s">
        <v>60</v>
      </c>
      <c r="J620" t="s">
        <v>74</v>
      </c>
      <c r="K620" s="2">
        <v>4286.6400000000003</v>
      </c>
      <c r="L620" s="9">
        <v>0.7</v>
      </c>
      <c r="M620" s="15">
        <f t="shared" si="28"/>
        <v>3000.6480000000001</v>
      </c>
      <c r="N620" s="15">
        <f t="shared" si="29"/>
        <v>1285.9920000000002</v>
      </c>
      <c r="O620" t="s">
        <v>20</v>
      </c>
    </row>
    <row r="621" spans="1:15" hidden="1" x14ac:dyDescent="0.35">
      <c r="A621" t="s">
        <v>1169</v>
      </c>
      <c r="B621" t="s">
        <v>895</v>
      </c>
      <c r="C621">
        <v>73</v>
      </c>
      <c r="D621" s="8" t="str" cm="1">
        <f t="array" ref="D621">_xlfn.IFS(C621&lt;=2, "Infant", C621&lt;=11, "Child", C621&lt;=17, "Adolescent", C621&lt;=44, "Young Adult", C621&lt;=64, "Middle Aged", C621&lt;=84,"Young Old", C621&gt;=85,"Oldest Old")</f>
        <v>Young Old</v>
      </c>
      <c r="E621" t="s">
        <v>18</v>
      </c>
      <c r="F621" s="4">
        <v>45956</v>
      </c>
      <c r="G621" s="4">
        <v>45965</v>
      </c>
      <c r="H621" s="7">
        <f t="shared" si="27"/>
        <v>9</v>
      </c>
      <c r="I621" t="s">
        <v>13</v>
      </c>
      <c r="J621" t="s">
        <v>38</v>
      </c>
      <c r="K621" s="2">
        <v>21392.04</v>
      </c>
      <c r="L621" s="9">
        <v>0.8</v>
      </c>
      <c r="M621" s="15">
        <f t="shared" si="28"/>
        <v>17113.632000000001</v>
      </c>
      <c r="N621" s="15">
        <f t="shared" si="29"/>
        <v>4278.4079999999994</v>
      </c>
      <c r="O621" t="s">
        <v>15</v>
      </c>
    </row>
    <row r="622" spans="1:15" hidden="1" x14ac:dyDescent="0.35">
      <c r="A622" t="s">
        <v>1170</v>
      </c>
      <c r="B622" t="s">
        <v>1171</v>
      </c>
      <c r="C622">
        <v>37</v>
      </c>
      <c r="D622" s="8" t="str" cm="1">
        <f t="array" ref="D622">_xlfn.IFS(C622&lt;=2, "Infant", C622&lt;=11, "Child", C622&lt;=17, "Adolescent", C622&lt;=44, "Young Adult", C622&lt;=64, "Middle Aged", C622&lt;=84,"Young Old", C622&gt;=85,"Oldest Old")</f>
        <v>Young Adult</v>
      </c>
      <c r="E622" t="s">
        <v>12</v>
      </c>
      <c r="F622" s="4">
        <v>45983</v>
      </c>
      <c r="G622" s="4">
        <v>45985</v>
      </c>
      <c r="H622" s="7">
        <f t="shared" si="27"/>
        <v>2</v>
      </c>
      <c r="I622" t="s">
        <v>23</v>
      </c>
      <c r="J622" t="s">
        <v>41</v>
      </c>
      <c r="K622" s="2">
        <v>3201.39</v>
      </c>
      <c r="L622" s="9">
        <v>0.8</v>
      </c>
      <c r="M622" s="15">
        <f t="shared" si="28"/>
        <v>2561.1120000000001</v>
      </c>
      <c r="N622" s="15">
        <f t="shared" si="29"/>
        <v>640.27799999999979</v>
      </c>
      <c r="O622" t="s">
        <v>15</v>
      </c>
    </row>
    <row r="623" spans="1:15" hidden="1" x14ac:dyDescent="0.35">
      <c r="A623" t="s">
        <v>1172</v>
      </c>
      <c r="B623" t="s">
        <v>799</v>
      </c>
      <c r="C623">
        <v>11</v>
      </c>
      <c r="D623" s="8" t="str" cm="1">
        <f t="array" ref="D623">_xlfn.IFS(C623&lt;=2, "Infant", C623&lt;=11, "Child", C623&lt;=17, "Adolescent", C623&lt;=44, "Young Adult", C623&lt;=64, "Middle Aged", C623&lt;=84,"Young Old", C623&gt;=85,"Oldest Old")</f>
        <v>Child</v>
      </c>
      <c r="E623" t="s">
        <v>12</v>
      </c>
      <c r="F623" s="4">
        <v>45501</v>
      </c>
      <c r="G623" s="4">
        <v>45503</v>
      </c>
      <c r="H623" s="7">
        <f t="shared" si="27"/>
        <v>2</v>
      </c>
      <c r="I623" t="s">
        <v>49</v>
      </c>
      <c r="J623" t="s">
        <v>120</v>
      </c>
      <c r="K623" s="2">
        <v>3300.07</v>
      </c>
      <c r="L623" s="9">
        <v>1</v>
      </c>
      <c r="M623" s="15">
        <f t="shared" si="28"/>
        <v>3300.07</v>
      </c>
      <c r="N623" s="15">
        <f t="shared" si="29"/>
        <v>0</v>
      </c>
      <c r="O623" t="s">
        <v>15</v>
      </c>
    </row>
    <row r="624" spans="1:15" hidden="1" x14ac:dyDescent="0.35">
      <c r="A624" t="s">
        <v>1173</v>
      </c>
      <c r="B624" t="s">
        <v>1174</v>
      </c>
      <c r="C624">
        <v>7</v>
      </c>
      <c r="D624" s="8" t="str" cm="1">
        <f t="array" ref="D624">_xlfn.IFS(C624&lt;=2, "Infant", C624&lt;=11, "Child", C624&lt;=17, "Adolescent", C624&lt;=44, "Young Adult", C624&lt;=64, "Middle Aged", C624&lt;=84,"Young Old", C624&gt;=85,"Oldest Old")</f>
        <v>Child</v>
      </c>
      <c r="E624" t="s">
        <v>12</v>
      </c>
      <c r="F624" s="4">
        <v>45812</v>
      </c>
      <c r="G624" s="4">
        <v>45813</v>
      </c>
      <c r="H624" s="7">
        <f t="shared" si="27"/>
        <v>1</v>
      </c>
      <c r="I624" t="s">
        <v>49</v>
      </c>
      <c r="J624" t="s">
        <v>123</v>
      </c>
      <c r="K624" s="2">
        <v>784.49</v>
      </c>
      <c r="L624" s="9">
        <v>0.9</v>
      </c>
      <c r="M624" s="15">
        <f t="shared" si="28"/>
        <v>706.04100000000005</v>
      </c>
      <c r="N624" s="15">
        <f t="shared" si="29"/>
        <v>78.448999999999955</v>
      </c>
      <c r="O624" t="s">
        <v>15</v>
      </c>
    </row>
    <row r="625" spans="1:15" hidden="1" x14ac:dyDescent="0.35">
      <c r="A625" t="s">
        <v>1175</v>
      </c>
      <c r="B625" t="s">
        <v>1176</v>
      </c>
      <c r="C625">
        <v>26</v>
      </c>
      <c r="D625" s="8" t="str" cm="1">
        <f t="array" ref="D625">_xlfn.IFS(C625&lt;=2, "Infant", C625&lt;=11, "Child", C625&lt;=17, "Adolescent", C625&lt;=44, "Young Adult", C625&lt;=64, "Middle Aged", C625&lt;=84,"Young Old", C625&gt;=85,"Oldest Old")</f>
        <v>Young Adult</v>
      </c>
      <c r="E625" t="s">
        <v>12</v>
      </c>
      <c r="F625" s="4">
        <v>45695</v>
      </c>
      <c r="G625" s="4">
        <v>45696</v>
      </c>
      <c r="H625" s="7">
        <f t="shared" si="27"/>
        <v>1</v>
      </c>
      <c r="I625" t="s">
        <v>31</v>
      </c>
      <c r="J625" t="s">
        <v>44</v>
      </c>
      <c r="K625" s="2">
        <v>1170.5999999999999</v>
      </c>
      <c r="L625" s="9">
        <v>0.8</v>
      </c>
      <c r="M625" s="15">
        <f t="shared" si="28"/>
        <v>936.48</v>
      </c>
      <c r="N625" s="15">
        <f t="shared" si="29"/>
        <v>234.11999999999989</v>
      </c>
      <c r="O625" t="s">
        <v>15</v>
      </c>
    </row>
    <row r="626" spans="1:15" hidden="1" x14ac:dyDescent="0.35">
      <c r="A626" t="s">
        <v>1177</v>
      </c>
      <c r="B626" t="s">
        <v>369</v>
      </c>
      <c r="C626">
        <v>61</v>
      </c>
      <c r="D626" s="8" t="str" cm="1">
        <f t="array" ref="D626">_xlfn.IFS(C626&lt;=2, "Infant", C626&lt;=11, "Child", C626&lt;=17, "Adolescent", C626&lt;=44, "Young Adult", C626&lt;=64, "Middle Aged", C626&lt;=84,"Young Old", C626&gt;=85,"Oldest Old")</f>
        <v>Middle Aged</v>
      </c>
      <c r="E626" t="s">
        <v>12</v>
      </c>
      <c r="F626" s="4">
        <v>45600</v>
      </c>
      <c r="G626" s="4">
        <v>45604</v>
      </c>
      <c r="H626" s="7">
        <f t="shared" si="27"/>
        <v>4</v>
      </c>
      <c r="I626" t="s">
        <v>13</v>
      </c>
      <c r="J626" t="s">
        <v>14</v>
      </c>
      <c r="K626" s="2">
        <v>11503.8</v>
      </c>
      <c r="L626" s="9">
        <v>0.6</v>
      </c>
      <c r="M626" s="15">
        <f t="shared" si="28"/>
        <v>6902.28</v>
      </c>
      <c r="N626" s="15">
        <f t="shared" si="29"/>
        <v>4601.5199999999995</v>
      </c>
      <c r="O626" t="s">
        <v>25</v>
      </c>
    </row>
    <row r="627" spans="1:15" hidden="1" x14ac:dyDescent="0.35">
      <c r="A627" t="s">
        <v>1178</v>
      </c>
      <c r="B627" t="s">
        <v>404</v>
      </c>
      <c r="C627">
        <v>8</v>
      </c>
      <c r="D627" s="8" t="str" cm="1">
        <f t="array" ref="D627">_xlfn.IFS(C627&lt;=2, "Infant", C627&lt;=11, "Child", C627&lt;=17, "Adolescent", C627&lt;=44, "Young Adult", C627&lt;=64, "Middle Aged", C627&lt;=84,"Young Old", C627&gt;=85,"Oldest Old")</f>
        <v>Child</v>
      </c>
      <c r="E627" t="s">
        <v>18</v>
      </c>
      <c r="F627" s="4">
        <v>45836</v>
      </c>
      <c r="G627" s="4">
        <v>45838</v>
      </c>
      <c r="H627" s="7">
        <f t="shared" si="27"/>
        <v>2</v>
      </c>
      <c r="I627" t="s">
        <v>49</v>
      </c>
      <c r="J627" t="s">
        <v>130</v>
      </c>
      <c r="K627" s="2">
        <v>1522.86</v>
      </c>
      <c r="L627" s="9">
        <v>0.9</v>
      </c>
      <c r="M627" s="15">
        <f t="shared" si="28"/>
        <v>1370.5739999999998</v>
      </c>
      <c r="N627" s="15">
        <f t="shared" si="29"/>
        <v>152.28600000000006</v>
      </c>
      <c r="O627" t="s">
        <v>20</v>
      </c>
    </row>
    <row r="628" spans="1:15" hidden="1" x14ac:dyDescent="0.35">
      <c r="A628" t="s">
        <v>1179</v>
      </c>
      <c r="B628" t="s">
        <v>270</v>
      </c>
      <c r="C628">
        <v>78</v>
      </c>
      <c r="D628" s="8" t="str" cm="1">
        <f t="array" ref="D628">_xlfn.IFS(C628&lt;=2, "Infant", C628&lt;=11, "Child", C628&lt;=17, "Adolescent", C628&lt;=44, "Young Adult", C628&lt;=64, "Middle Aged", C628&lt;=84,"Young Old", C628&gt;=85,"Oldest Old")</f>
        <v>Young Old</v>
      </c>
      <c r="E628" t="s">
        <v>18</v>
      </c>
      <c r="F628" s="4">
        <v>45705</v>
      </c>
      <c r="G628" s="4">
        <v>45715</v>
      </c>
      <c r="H628" s="7">
        <f t="shared" si="27"/>
        <v>10</v>
      </c>
      <c r="I628" t="s">
        <v>70</v>
      </c>
      <c r="J628" t="s">
        <v>94</v>
      </c>
      <c r="K628" s="2">
        <v>22757.119999999999</v>
      </c>
      <c r="L628" s="9">
        <v>0.9</v>
      </c>
      <c r="M628" s="15">
        <f t="shared" si="28"/>
        <v>20481.407999999999</v>
      </c>
      <c r="N628" s="15">
        <f t="shared" si="29"/>
        <v>2275.7119999999995</v>
      </c>
      <c r="O628" t="s">
        <v>15</v>
      </c>
    </row>
    <row r="629" spans="1:15" hidden="1" x14ac:dyDescent="0.35">
      <c r="A629" t="s">
        <v>1180</v>
      </c>
      <c r="B629" t="s">
        <v>975</v>
      </c>
      <c r="C629">
        <v>11</v>
      </c>
      <c r="D629" s="8" t="str" cm="1">
        <f t="array" ref="D629">_xlfn.IFS(C629&lt;=2, "Infant", C629&lt;=11, "Child", C629&lt;=17, "Adolescent", C629&lt;=44, "Young Adult", C629&lt;=64, "Middle Aged", C629&lt;=84,"Young Old", C629&gt;=85,"Oldest Old")</f>
        <v>Child</v>
      </c>
      <c r="E629" t="s">
        <v>12</v>
      </c>
      <c r="F629" s="4">
        <v>45536</v>
      </c>
      <c r="G629" s="4">
        <v>45541</v>
      </c>
      <c r="H629" s="7">
        <f t="shared" si="27"/>
        <v>5</v>
      </c>
      <c r="I629" t="s">
        <v>49</v>
      </c>
      <c r="J629" t="s">
        <v>123</v>
      </c>
      <c r="K629" s="2">
        <v>3197.15</v>
      </c>
      <c r="L629" s="9">
        <v>0.7</v>
      </c>
      <c r="M629" s="15">
        <f t="shared" si="28"/>
        <v>2238.0050000000001</v>
      </c>
      <c r="N629" s="15">
        <f t="shared" si="29"/>
        <v>959.14499999999998</v>
      </c>
      <c r="O629" t="s">
        <v>25</v>
      </c>
    </row>
    <row r="630" spans="1:15" x14ac:dyDescent="0.35">
      <c r="A630" t="s">
        <v>1181</v>
      </c>
      <c r="B630" t="s">
        <v>1182</v>
      </c>
      <c r="C630">
        <v>73</v>
      </c>
      <c r="D630" s="8" t="str" cm="1">
        <f t="array" ref="D630">_xlfn.IFS(C630&lt;=2, "Infant", C630&lt;=11, "Child", C630&lt;=17, "Adolescent", C630&lt;=44, "Young Adult", C630&lt;=64, "Middle Aged", C630&lt;=84,"Young Old", C630&gt;=85,"Oldest Old")</f>
        <v>Young Old</v>
      </c>
      <c r="E630" t="s">
        <v>18</v>
      </c>
      <c r="F630" s="4">
        <v>45441</v>
      </c>
      <c r="G630" s="4">
        <v>45443</v>
      </c>
      <c r="H630" s="7">
        <f t="shared" si="27"/>
        <v>2</v>
      </c>
      <c r="I630" t="s">
        <v>31</v>
      </c>
      <c r="J630" t="s">
        <v>32</v>
      </c>
      <c r="K630" s="2">
        <v>2710.85</v>
      </c>
      <c r="L630" s="9">
        <v>0.6</v>
      </c>
      <c r="M630" s="15">
        <f t="shared" si="28"/>
        <v>1626.51</v>
      </c>
      <c r="N630" s="15">
        <f t="shared" si="29"/>
        <v>1084.3399999999999</v>
      </c>
      <c r="O630" t="s">
        <v>20</v>
      </c>
    </row>
    <row r="631" spans="1:15" hidden="1" x14ac:dyDescent="0.35">
      <c r="A631" t="s">
        <v>1183</v>
      </c>
      <c r="B631" t="s">
        <v>1184</v>
      </c>
      <c r="C631">
        <v>84</v>
      </c>
      <c r="D631" s="8" t="str" cm="1">
        <f t="array" ref="D631">_xlfn.IFS(C631&lt;=2, "Infant", C631&lt;=11, "Child", C631&lt;=17, "Adolescent", C631&lt;=44, "Young Adult", C631&lt;=64, "Middle Aged", C631&lt;=84,"Young Old", C631&gt;=85,"Oldest Old")</f>
        <v>Young Old</v>
      </c>
      <c r="E631" t="s">
        <v>18</v>
      </c>
      <c r="F631" s="4">
        <v>45918</v>
      </c>
      <c r="G631" s="4">
        <v>45920</v>
      </c>
      <c r="H631" s="7">
        <f t="shared" si="27"/>
        <v>2</v>
      </c>
      <c r="I631" t="s">
        <v>23</v>
      </c>
      <c r="J631" t="s">
        <v>204</v>
      </c>
      <c r="K631" s="2">
        <v>4532.09</v>
      </c>
      <c r="L631" s="9">
        <v>0.9</v>
      </c>
      <c r="M631" s="15">
        <f t="shared" si="28"/>
        <v>4078.8810000000003</v>
      </c>
      <c r="N631" s="15">
        <f t="shared" si="29"/>
        <v>453.20899999999983</v>
      </c>
      <c r="O631" t="s">
        <v>20</v>
      </c>
    </row>
    <row r="632" spans="1:15" hidden="1" x14ac:dyDescent="0.35">
      <c r="A632" t="s">
        <v>1185</v>
      </c>
      <c r="B632" t="s">
        <v>1186</v>
      </c>
      <c r="C632">
        <v>43</v>
      </c>
      <c r="D632" s="8" t="str" cm="1">
        <f t="array" ref="D632">_xlfn.IFS(C632&lt;=2, "Infant", C632&lt;=11, "Child", C632&lt;=17, "Adolescent", C632&lt;=44, "Young Adult", C632&lt;=64, "Middle Aged", C632&lt;=84,"Young Old", C632&gt;=85,"Oldest Old")</f>
        <v>Young Adult</v>
      </c>
      <c r="E632" t="s">
        <v>12</v>
      </c>
      <c r="F632" s="4">
        <v>45857</v>
      </c>
      <c r="G632" s="4">
        <v>45860</v>
      </c>
      <c r="H632" s="7">
        <f t="shared" si="27"/>
        <v>3</v>
      </c>
      <c r="I632" t="s">
        <v>60</v>
      </c>
      <c r="J632" t="s">
        <v>61</v>
      </c>
      <c r="K632" s="2">
        <v>4972.62</v>
      </c>
      <c r="L632" s="9">
        <v>0.8</v>
      </c>
      <c r="M632" s="15">
        <f t="shared" si="28"/>
        <v>3978.096</v>
      </c>
      <c r="N632" s="15">
        <f t="shared" si="29"/>
        <v>994.52399999999989</v>
      </c>
      <c r="O632" t="s">
        <v>15</v>
      </c>
    </row>
    <row r="633" spans="1:15" hidden="1" x14ac:dyDescent="0.35">
      <c r="A633" t="s">
        <v>1187</v>
      </c>
      <c r="B633" t="s">
        <v>874</v>
      </c>
      <c r="C633">
        <v>1</v>
      </c>
      <c r="D633" s="8" t="str" cm="1">
        <f t="array" ref="D633">_xlfn.IFS(C633&lt;=2, "Infant", C633&lt;=11, "Child", C633&lt;=17, "Adolescent", C633&lt;=44, "Young Adult", C633&lt;=64, "Middle Aged", C633&lt;=84,"Young Old", C633&gt;=85,"Oldest Old")</f>
        <v>Infant</v>
      </c>
      <c r="E633" t="s">
        <v>12</v>
      </c>
      <c r="F633" s="4">
        <v>45609</v>
      </c>
      <c r="G633" s="4">
        <v>45611</v>
      </c>
      <c r="H633" s="7">
        <f t="shared" si="27"/>
        <v>2</v>
      </c>
      <c r="I633" t="s">
        <v>49</v>
      </c>
      <c r="J633" t="s">
        <v>378</v>
      </c>
      <c r="K633" s="2">
        <v>3235.05</v>
      </c>
      <c r="L633" s="9">
        <v>0.7</v>
      </c>
      <c r="M633" s="15">
        <f t="shared" si="28"/>
        <v>2264.5349999999999</v>
      </c>
      <c r="N633" s="15">
        <f t="shared" si="29"/>
        <v>970.51500000000033</v>
      </c>
      <c r="O633" t="s">
        <v>15</v>
      </c>
    </row>
    <row r="634" spans="1:15" hidden="1" x14ac:dyDescent="0.35">
      <c r="A634" t="s">
        <v>1188</v>
      </c>
      <c r="B634" t="s">
        <v>1189</v>
      </c>
      <c r="C634">
        <v>49</v>
      </c>
      <c r="D634" s="8" t="str" cm="1">
        <f t="array" ref="D634">_xlfn.IFS(C634&lt;=2, "Infant", C634&lt;=11, "Child", C634&lt;=17, "Adolescent", C634&lt;=44, "Young Adult", C634&lt;=64, "Middle Aged", C634&lt;=84,"Young Old", C634&gt;=85,"Oldest Old")</f>
        <v>Middle Aged</v>
      </c>
      <c r="E634" t="s">
        <v>18</v>
      </c>
      <c r="F634" s="4">
        <v>45937</v>
      </c>
      <c r="G634" s="4">
        <v>45939</v>
      </c>
      <c r="H634" s="7">
        <f t="shared" si="27"/>
        <v>2</v>
      </c>
      <c r="I634" t="s">
        <v>31</v>
      </c>
      <c r="J634" t="s">
        <v>114</v>
      </c>
      <c r="K634" s="2">
        <v>2401.17</v>
      </c>
      <c r="L634" s="9">
        <v>0.9</v>
      </c>
      <c r="M634" s="15">
        <f t="shared" si="28"/>
        <v>2161.0530000000003</v>
      </c>
      <c r="N634" s="15">
        <f t="shared" si="29"/>
        <v>240.11699999999973</v>
      </c>
      <c r="O634" t="s">
        <v>20</v>
      </c>
    </row>
    <row r="635" spans="1:15" hidden="1" x14ac:dyDescent="0.35">
      <c r="A635" t="s">
        <v>1190</v>
      </c>
      <c r="B635" t="s">
        <v>1191</v>
      </c>
      <c r="C635">
        <v>51</v>
      </c>
      <c r="D635" s="8" t="str" cm="1">
        <f t="array" ref="D635">_xlfn.IFS(C635&lt;=2, "Infant", C635&lt;=11, "Child", C635&lt;=17, "Adolescent", C635&lt;=44, "Young Adult", C635&lt;=64, "Middle Aged", C635&lt;=84,"Young Old", C635&gt;=85,"Oldest Old")</f>
        <v>Middle Aged</v>
      </c>
      <c r="E635" t="s">
        <v>18</v>
      </c>
      <c r="F635" s="4">
        <v>45419</v>
      </c>
      <c r="G635" s="4">
        <v>45431</v>
      </c>
      <c r="H635" s="7">
        <f t="shared" si="27"/>
        <v>12</v>
      </c>
      <c r="I635" t="s">
        <v>60</v>
      </c>
      <c r="J635" t="s">
        <v>142</v>
      </c>
      <c r="K635" s="2">
        <v>33210.050000000003</v>
      </c>
      <c r="L635" s="9">
        <v>0.8</v>
      </c>
      <c r="M635" s="15">
        <f t="shared" si="28"/>
        <v>26568.040000000005</v>
      </c>
      <c r="N635" s="15">
        <f t="shared" si="29"/>
        <v>6642.0099999999984</v>
      </c>
      <c r="O635" t="s">
        <v>20</v>
      </c>
    </row>
    <row r="636" spans="1:15" hidden="1" x14ac:dyDescent="0.35">
      <c r="A636" t="s">
        <v>1192</v>
      </c>
      <c r="B636" t="s">
        <v>893</v>
      </c>
      <c r="C636">
        <v>73</v>
      </c>
      <c r="D636" s="8" t="str" cm="1">
        <f t="array" ref="D636">_xlfn.IFS(C636&lt;=2, "Infant", C636&lt;=11, "Child", C636&lt;=17, "Adolescent", C636&lt;=44, "Young Adult", C636&lt;=64, "Middle Aged", C636&lt;=84,"Young Old", C636&gt;=85,"Oldest Old")</f>
        <v>Young Old</v>
      </c>
      <c r="E636" t="s">
        <v>18</v>
      </c>
      <c r="F636" s="4">
        <v>45643</v>
      </c>
      <c r="G636" s="4">
        <v>45653</v>
      </c>
      <c r="H636" s="7">
        <f t="shared" si="27"/>
        <v>10</v>
      </c>
      <c r="I636" t="s">
        <v>60</v>
      </c>
      <c r="J636" t="s">
        <v>74</v>
      </c>
      <c r="K636" s="2">
        <v>23689.65</v>
      </c>
      <c r="L636" s="9">
        <v>0.9</v>
      </c>
      <c r="M636" s="15">
        <f t="shared" si="28"/>
        <v>21320.685000000001</v>
      </c>
      <c r="N636" s="15">
        <f t="shared" si="29"/>
        <v>2368.9650000000001</v>
      </c>
      <c r="O636" t="s">
        <v>15</v>
      </c>
    </row>
    <row r="637" spans="1:15" x14ac:dyDescent="0.35">
      <c r="A637" t="s">
        <v>1193</v>
      </c>
      <c r="B637" t="s">
        <v>1194</v>
      </c>
      <c r="C637">
        <v>26</v>
      </c>
      <c r="D637" s="8" t="str" cm="1">
        <f t="array" ref="D637">_xlfn.IFS(C637&lt;=2, "Infant", C637&lt;=11, "Child", C637&lt;=17, "Adolescent", C637&lt;=44, "Young Adult", C637&lt;=64, "Middle Aged", C637&lt;=84,"Young Old", C637&gt;=85,"Oldest Old")</f>
        <v>Young Adult</v>
      </c>
      <c r="E637" t="s">
        <v>12</v>
      </c>
      <c r="F637" s="4">
        <v>45960</v>
      </c>
      <c r="G637" s="4">
        <v>45963</v>
      </c>
      <c r="H637" s="7">
        <f t="shared" si="27"/>
        <v>3</v>
      </c>
      <c r="I637" t="s">
        <v>31</v>
      </c>
      <c r="J637" t="s">
        <v>32</v>
      </c>
      <c r="K637" s="2">
        <v>2927.98</v>
      </c>
      <c r="L637" s="9">
        <v>1</v>
      </c>
      <c r="M637" s="15">
        <f t="shared" si="28"/>
        <v>2927.98</v>
      </c>
      <c r="N637" s="15">
        <f t="shared" si="29"/>
        <v>0</v>
      </c>
      <c r="O637" t="s">
        <v>15</v>
      </c>
    </row>
    <row r="638" spans="1:15" hidden="1" x14ac:dyDescent="0.35">
      <c r="A638" t="s">
        <v>1195</v>
      </c>
      <c r="B638" t="s">
        <v>1196</v>
      </c>
      <c r="C638">
        <v>58</v>
      </c>
      <c r="D638" s="8" t="str" cm="1">
        <f t="array" ref="D638">_xlfn.IFS(C638&lt;=2, "Infant", C638&lt;=11, "Child", C638&lt;=17, "Adolescent", C638&lt;=44, "Young Adult", C638&lt;=64, "Middle Aged", C638&lt;=84,"Young Old", C638&gt;=85,"Oldest Old")</f>
        <v>Middle Aged</v>
      </c>
      <c r="E638" t="s">
        <v>18</v>
      </c>
      <c r="F638" s="4">
        <v>45760</v>
      </c>
      <c r="G638" s="4">
        <v>45769</v>
      </c>
      <c r="H638" s="7">
        <f t="shared" si="27"/>
        <v>9</v>
      </c>
      <c r="I638" t="s">
        <v>13</v>
      </c>
      <c r="J638" t="s">
        <v>102</v>
      </c>
      <c r="K638" s="2">
        <v>10908.77</v>
      </c>
      <c r="L638" s="9">
        <v>0.9</v>
      </c>
      <c r="M638" s="15">
        <f t="shared" si="28"/>
        <v>9817.893</v>
      </c>
      <c r="N638" s="15">
        <f t="shared" si="29"/>
        <v>1090.8770000000004</v>
      </c>
      <c r="O638" t="s">
        <v>20</v>
      </c>
    </row>
    <row r="639" spans="1:15" hidden="1" x14ac:dyDescent="0.35">
      <c r="A639" t="s">
        <v>1197</v>
      </c>
      <c r="B639" t="s">
        <v>1198</v>
      </c>
      <c r="C639">
        <v>65</v>
      </c>
      <c r="D639" s="8" t="str" cm="1">
        <f t="array" ref="D639">_xlfn.IFS(C639&lt;=2, "Infant", C639&lt;=11, "Child", C639&lt;=17, "Adolescent", C639&lt;=44, "Young Adult", C639&lt;=64, "Middle Aged", C639&lt;=84,"Young Old", C639&gt;=85,"Oldest Old")</f>
        <v>Young Old</v>
      </c>
      <c r="E639" t="s">
        <v>12</v>
      </c>
      <c r="F639" s="4">
        <v>45478</v>
      </c>
      <c r="G639" s="4">
        <v>45483</v>
      </c>
      <c r="H639" s="7">
        <f t="shared" si="27"/>
        <v>5</v>
      </c>
      <c r="I639" t="s">
        <v>13</v>
      </c>
      <c r="J639" t="s">
        <v>19</v>
      </c>
      <c r="K639" s="2">
        <v>9405.2000000000007</v>
      </c>
      <c r="L639" s="9">
        <v>0.7</v>
      </c>
      <c r="M639" s="15">
        <f t="shared" si="28"/>
        <v>6583.64</v>
      </c>
      <c r="N639" s="15">
        <f t="shared" si="29"/>
        <v>2821.5600000000004</v>
      </c>
      <c r="O639" t="s">
        <v>20</v>
      </c>
    </row>
    <row r="640" spans="1:15" hidden="1" x14ac:dyDescent="0.35">
      <c r="A640" t="s">
        <v>1199</v>
      </c>
      <c r="B640" t="s">
        <v>783</v>
      </c>
      <c r="C640">
        <v>37</v>
      </c>
      <c r="D640" s="8" t="str" cm="1">
        <f t="array" ref="D640">_xlfn.IFS(C640&lt;=2, "Infant", C640&lt;=11, "Child", C640&lt;=17, "Adolescent", C640&lt;=44, "Young Adult", C640&lt;=64, "Middle Aged", C640&lt;=84,"Young Old", C640&gt;=85,"Oldest Old")</f>
        <v>Young Adult</v>
      </c>
      <c r="E640" t="s">
        <v>18</v>
      </c>
      <c r="F640" s="4">
        <v>45888</v>
      </c>
      <c r="G640" s="4">
        <v>45896</v>
      </c>
      <c r="H640" s="7">
        <f t="shared" si="27"/>
        <v>8</v>
      </c>
      <c r="I640" t="s">
        <v>70</v>
      </c>
      <c r="J640" t="s">
        <v>71</v>
      </c>
      <c r="K640" s="2">
        <v>11960.8</v>
      </c>
      <c r="L640" s="9">
        <v>0.8</v>
      </c>
      <c r="M640" s="15">
        <f t="shared" si="28"/>
        <v>9568.64</v>
      </c>
      <c r="N640" s="15">
        <f t="shared" si="29"/>
        <v>2392.16</v>
      </c>
      <c r="O640" t="s">
        <v>15</v>
      </c>
    </row>
    <row r="641" spans="1:15" hidden="1" x14ac:dyDescent="0.35">
      <c r="A641" t="s">
        <v>1200</v>
      </c>
      <c r="B641" t="s">
        <v>1201</v>
      </c>
      <c r="C641">
        <v>68</v>
      </c>
      <c r="D641" s="8" t="str" cm="1">
        <f t="array" ref="D641">_xlfn.IFS(C641&lt;=2, "Infant", C641&lt;=11, "Child", C641&lt;=17, "Adolescent", C641&lt;=44, "Young Adult", C641&lt;=64, "Middle Aged", C641&lt;=84,"Young Old", C641&gt;=85,"Oldest Old")</f>
        <v>Young Old</v>
      </c>
      <c r="E641" t="s">
        <v>12</v>
      </c>
      <c r="F641" s="4">
        <v>45537</v>
      </c>
      <c r="G641" s="4">
        <v>45538</v>
      </c>
      <c r="H641" s="7">
        <f t="shared" si="27"/>
        <v>1</v>
      </c>
      <c r="I641" t="s">
        <v>31</v>
      </c>
      <c r="J641" t="s">
        <v>44</v>
      </c>
      <c r="K641" s="2">
        <v>1174.7</v>
      </c>
      <c r="L641" s="9">
        <v>0.9</v>
      </c>
      <c r="M641" s="15">
        <f t="shared" si="28"/>
        <v>1057.23</v>
      </c>
      <c r="N641" s="15">
        <f t="shared" si="29"/>
        <v>117.47000000000003</v>
      </c>
      <c r="O641" t="s">
        <v>20</v>
      </c>
    </row>
    <row r="642" spans="1:15" hidden="1" x14ac:dyDescent="0.35">
      <c r="A642" t="s">
        <v>1202</v>
      </c>
      <c r="B642" t="s">
        <v>1203</v>
      </c>
      <c r="C642">
        <v>41</v>
      </c>
      <c r="D642" s="8" t="str" cm="1">
        <f t="array" ref="D642">_xlfn.IFS(C642&lt;=2, "Infant", C642&lt;=11, "Child", C642&lt;=17, "Adolescent", C642&lt;=44, "Young Adult", C642&lt;=64, "Middle Aged", C642&lt;=84,"Young Old", C642&gt;=85,"Oldest Old")</f>
        <v>Young Adult</v>
      </c>
      <c r="E642" t="s">
        <v>12</v>
      </c>
      <c r="F642" s="4">
        <v>45314</v>
      </c>
      <c r="G642" s="4">
        <v>45321</v>
      </c>
      <c r="H642" s="7">
        <f t="shared" si="27"/>
        <v>7</v>
      </c>
      <c r="I642" t="s">
        <v>31</v>
      </c>
      <c r="J642" t="s">
        <v>234</v>
      </c>
      <c r="K642" s="2">
        <v>6487.34</v>
      </c>
      <c r="L642" s="9">
        <v>0.8</v>
      </c>
      <c r="M642" s="15">
        <f t="shared" si="28"/>
        <v>5189.8720000000003</v>
      </c>
      <c r="N642" s="15">
        <f t="shared" si="29"/>
        <v>1297.4679999999998</v>
      </c>
      <c r="O642" t="s">
        <v>15</v>
      </c>
    </row>
    <row r="643" spans="1:15" hidden="1" x14ac:dyDescent="0.35">
      <c r="A643" t="s">
        <v>1204</v>
      </c>
      <c r="B643" t="s">
        <v>1101</v>
      </c>
      <c r="C643">
        <v>40</v>
      </c>
      <c r="D643" s="8" t="str" cm="1">
        <f t="array" ref="D643">_xlfn.IFS(C643&lt;=2, "Infant", C643&lt;=11, "Child", C643&lt;=17, "Adolescent", C643&lt;=44, "Young Adult", C643&lt;=64, "Middle Aged", C643&lt;=84,"Young Old", C643&gt;=85,"Oldest Old")</f>
        <v>Young Adult</v>
      </c>
      <c r="E643" t="s">
        <v>12</v>
      </c>
      <c r="F643" s="4">
        <v>45752</v>
      </c>
      <c r="G643" s="4">
        <v>45754</v>
      </c>
      <c r="H643" s="7">
        <f t="shared" ref="H643:H706" si="30">DATEDIF(F643,G643,"D")</f>
        <v>2</v>
      </c>
      <c r="I643" t="s">
        <v>23</v>
      </c>
      <c r="J643" t="s">
        <v>333</v>
      </c>
      <c r="K643" s="2">
        <v>3282.55</v>
      </c>
      <c r="L643" s="9">
        <v>0.7</v>
      </c>
      <c r="M643" s="15">
        <f t="shared" ref="M643:M706" si="31">L643*K643</f>
        <v>2297.7849999999999</v>
      </c>
      <c r="N643" s="15">
        <f t="shared" ref="N643:N706" si="32">K643-M643</f>
        <v>984.76500000000033</v>
      </c>
      <c r="O643" t="s">
        <v>20</v>
      </c>
    </row>
    <row r="644" spans="1:15" hidden="1" x14ac:dyDescent="0.35">
      <c r="A644" t="s">
        <v>1205</v>
      </c>
      <c r="B644" t="s">
        <v>1206</v>
      </c>
      <c r="C644">
        <v>55</v>
      </c>
      <c r="D644" s="8" t="str" cm="1">
        <f t="array" ref="D644">_xlfn.IFS(C644&lt;=2, "Infant", C644&lt;=11, "Child", C644&lt;=17, "Adolescent", C644&lt;=44, "Young Adult", C644&lt;=64, "Middle Aged", C644&lt;=84,"Young Old", C644&gt;=85,"Oldest Old")</f>
        <v>Middle Aged</v>
      </c>
      <c r="E644" t="s">
        <v>18</v>
      </c>
      <c r="F644" s="4">
        <v>45716</v>
      </c>
      <c r="G644" s="4">
        <v>45722</v>
      </c>
      <c r="H644" s="7">
        <f t="shared" si="30"/>
        <v>6</v>
      </c>
      <c r="I644" t="s">
        <v>60</v>
      </c>
      <c r="J644" t="s">
        <v>77</v>
      </c>
      <c r="K644" s="2">
        <v>13468.92</v>
      </c>
      <c r="L644" s="9">
        <v>0.8</v>
      </c>
      <c r="M644" s="15">
        <f t="shared" si="31"/>
        <v>10775.136</v>
      </c>
      <c r="N644" s="15">
        <f t="shared" si="32"/>
        <v>2693.7839999999997</v>
      </c>
      <c r="O644" t="s">
        <v>15</v>
      </c>
    </row>
    <row r="645" spans="1:15" hidden="1" x14ac:dyDescent="0.35">
      <c r="A645" t="s">
        <v>1207</v>
      </c>
      <c r="B645" t="s">
        <v>1208</v>
      </c>
      <c r="C645">
        <v>76</v>
      </c>
      <c r="D645" s="8" t="str" cm="1">
        <f t="array" ref="D645">_xlfn.IFS(C645&lt;=2, "Infant", C645&lt;=11, "Child", C645&lt;=17, "Adolescent", C645&lt;=44, "Young Adult", C645&lt;=64, "Middle Aged", C645&lt;=84,"Young Old", C645&gt;=85,"Oldest Old")</f>
        <v>Young Old</v>
      </c>
      <c r="E645" t="s">
        <v>12</v>
      </c>
      <c r="F645" s="4">
        <v>45868</v>
      </c>
      <c r="G645" s="4">
        <v>45873</v>
      </c>
      <c r="H645" s="7">
        <f t="shared" si="30"/>
        <v>5</v>
      </c>
      <c r="I645" t="s">
        <v>13</v>
      </c>
      <c r="J645" t="s">
        <v>14</v>
      </c>
      <c r="K645" s="2">
        <v>7431.19</v>
      </c>
      <c r="L645" s="9">
        <v>0.8</v>
      </c>
      <c r="M645" s="15">
        <f t="shared" si="31"/>
        <v>5944.9520000000002</v>
      </c>
      <c r="N645" s="15">
        <f t="shared" si="32"/>
        <v>1486.2379999999994</v>
      </c>
      <c r="O645" t="s">
        <v>20</v>
      </c>
    </row>
    <row r="646" spans="1:15" hidden="1" x14ac:dyDescent="0.35">
      <c r="A646" t="s">
        <v>1209</v>
      </c>
      <c r="B646" t="s">
        <v>1210</v>
      </c>
      <c r="C646">
        <v>77</v>
      </c>
      <c r="D646" s="8" t="str" cm="1">
        <f t="array" ref="D646">_xlfn.IFS(C646&lt;=2, "Infant", C646&lt;=11, "Child", C646&lt;=17, "Adolescent", C646&lt;=44, "Young Adult", C646&lt;=64, "Middle Aged", C646&lt;=84,"Young Old", C646&gt;=85,"Oldest Old")</f>
        <v>Young Old</v>
      </c>
      <c r="E646" t="s">
        <v>18</v>
      </c>
      <c r="F646" s="4">
        <v>45612</v>
      </c>
      <c r="G646" s="4">
        <v>45616</v>
      </c>
      <c r="H646" s="7">
        <f t="shared" si="30"/>
        <v>4</v>
      </c>
      <c r="I646" t="s">
        <v>70</v>
      </c>
      <c r="J646" t="s">
        <v>94</v>
      </c>
      <c r="K646" s="2">
        <v>4416.84</v>
      </c>
      <c r="L646" s="9">
        <v>0.8</v>
      </c>
      <c r="M646" s="15">
        <f t="shared" si="31"/>
        <v>3533.4720000000002</v>
      </c>
      <c r="N646" s="15">
        <f t="shared" si="32"/>
        <v>883.36799999999994</v>
      </c>
      <c r="O646" t="s">
        <v>25</v>
      </c>
    </row>
    <row r="647" spans="1:15" hidden="1" x14ac:dyDescent="0.35">
      <c r="A647" t="s">
        <v>1211</v>
      </c>
      <c r="B647" t="s">
        <v>1212</v>
      </c>
      <c r="C647">
        <v>77</v>
      </c>
      <c r="D647" s="8" t="str" cm="1">
        <f t="array" ref="D647">_xlfn.IFS(C647&lt;=2, "Infant", C647&lt;=11, "Child", C647&lt;=17, "Adolescent", C647&lt;=44, "Young Adult", C647&lt;=64, "Middle Aged", C647&lt;=84,"Young Old", C647&gt;=85,"Oldest Old")</f>
        <v>Young Old</v>
      </c>
      <c r="E647" t="s">
        <v>12</v>
      </c>
      <c r="F647" s="4">
        <v>45967</v>
      </c>
      <c r="G647" s="4">
        <v>45968</v>
      </c>
      <c r="H647" s="7">
        <f t="shared" si="30"/>
        <v>1</v>
      </c>
      <c r="I647" t="s">
        <v>23</v>
      </c>
      <c r="J647" t="s">
        <v>24</v>
      </c>
      <c r="K647" s="2">
        <v>1265.79</v>
      </c>
      <c r="L647" s="9">
        <v>0.8</v>
      </c>
      <c r="M647" s="15">
        <f t="shared" si="31"/>
        <v>1012.6320000000001</v>
      </c>
      <c r="N647" s="15">
        <f t="shared" si="32"/>
        <v>253.1579999999999</v>
      </c>
      <c r="O647" t="s">
        <v>20</v>
      </c>
    </row>
    <row r="648" spans="1:15" hidden="1" x14ac:dyDescent="0.35">
      <c r="A648" t="s">
        <v>1213</v>
      </c>
      <c r="B648" t="s">
        <v>870</v>
      </c>
      <c r="C648">
        <v>47</v>
      </c>
      <c r="D648" s="8" t="str" cm="1">
        <f t="array" ref="D648">_xlfn.IFS(C648&lt;=2, "Infant", C648&lt;=11, "Child", C648&lt;=17, "Adolescent", C648&lt;=44, "Young Adult", C648&lt;=64, "Middle Aged", C648&lt;=84,"Young Old", C648&gt;=85,"Oldest Old")</f>
        <v>Middle Aged</v>
      </c>
      <c r="E648" t="s">
        <v>18</v>
      </c>
      <c r="F648" s="4">
        <v>45509</v>
      </c>
      <c r="G648" s="4">
        <v>45514</v>
      </c>
      <c r="H648" s="7">
        <f t="shared" si="30"/>
        <v>5</v>
      </c>
      <c r="I648" t="s">
        <v>31</v>
      </c>
      <c r="J648" t="s">
        <v>114</v>
      </c>
      <c r="K648" s="2">
        <v>7496.19</v>
      </c>
      <c r="L648" s="9">
        <v>0.8</v>
      </c>
      <c r="M648" s="15">
        <f t="shared" si="31"/>
        <v>5996.9520000000002</v>
      </c>
      <c r="N648" s="15">
        <f t="shared" si="32"/>
        <v>1499.2379999999994</v>
      </c>
      <c r="O648" t="s">
        <v>15</v>
      </c>
    </row>
    <row r="649" spans="1:15" hidden="1" x14ac:dyDescent="0.35">
      <c r="A649" t="s">
        <v>1214</v>
      </c>
      <c r="B649" t="s">
        <v>113</v>
      </c>
      <c r="C649">
        <v>46</v>
      </c>
      <c r="D649" s="8" t="str" cm="1">
        <f t="array" ref="D649">_xlfn.IFS(C649&lt;=2, "Infant", C649&lt;=11, "Child", C649&lt;=17, "Adolescent", C649&lt;=44, "Young Adult", C649&lt;=64, "Middle Aged", C649&lt;=84,"Young Old", C649&gt;=85,"Oldest Old")</f>
        <v>Middle Aged</v>
      </c>
      <c r="E649" t="s">
        <v>18</v>
      </c>
      <c r="F649" s="4">
        <v>45381</v>
      </c>
      <c r="G649" s="4">
        <v>45385</v>
      </c>
      <c r="H649" s="7">
        <f t="shared" si="30"/>
        <v>4</v>
      </c>
      <c r="I649" t="s">
        <v>31</v>
      </c>
      <c r="J649" t="s">
        <v>35</v>
      </c>
      <c r="K649" s="2">
        <v>5991.42</v>
      </c>
      <c r="L649" s="9">
        <v>1</v>
      </c>
      <c r="M649" s="15">
        <f t="shared" si="31"/>
        <v>5991.42</v>
      </c>
      <c r="N649" s="15">
        <f t="shared" si="32"/>
        <v>0</v>
      </c>
      <c r="O649" t="s">
        <v>25</v>
      </c>
    </row>
    <row r="650" spans="1:15" hidden="1" x14ac:dyDescent="0.35">
      <c r="A650" t="s">
        <v>1215</v>
      </c>
      <c r="B650" t="s">
        <v>1216</v>
      </c>
      <c r="C650">
        <v>62</v>
      </c>
      <c r="D650" s="8" t="str" cm="1">
        <f t="array" ref="D650">_xlfn.IFS(C650&lt;=2, "Infant", C650&lt;=11, "Child", C650&lt;=17, "Adolescent", C650&lt;=44, "Young Adult", C650&lt;=64, "Middle Aged", C650&lt;=84,"Young Old", C650&gt;=85,"Oldest Old")</f>
        <v>Middle Aged</v>
      </c>
      <c r="E650" t="s">
        <v>12</v>
      </c>
      <c r="F650" s="4">
        <v>45428</v>
      </c>
      <c r="G650" s="4">
        <v>45438</v>
      </c>
      <c r="H650" s="7">
        <f t="shared" si="30"/>
        <v>10</v>
      </c>
      <c r="I650" t="s">
        <v>13</v>
      </c>
      <c r="J650" t="s">
        <v>14</v>
      </c>
      <c r="K650" s="2">
        <v>12878.2</v>
      </c>
      <c r="L650" s="9">
        <v>0.8</v>
      </c>
      <c r="M650" s="15">
        <f t="shared" si="31"/>
        <v>10302.560000000001</v>
      </c>
      <c r="N650" s="15">
        <f t="shared" si="32"/>
        <v>2575.6399999999994</v>
      </c>
      <c r="O650" t="s">
        <v>15</v>
      </c>
    </row>
    <row r="651" spans="1:15" hidden="1" x14ac:dyDescent="0.35">
      <c r="A651" t="s">
        <v>1217</v>
      </c>
      <c r="B651" t="s">
        <v>1218</v>
      </c>
      <c r="C651">
        <v>5</v>
      </c>
      <c r="D651" s="8" t="str" cm="1">
        <f t="array" ref="D651">_xlfn.IFS(C651&lt;=2, "Infant", C651&lt;=11, "Child", C651&lt;=17, "Adolescent", C651&lt;=44, "Young Adult", C651&lt;=64, "Middle Aged", C651&lt;=84,"Young Old", C651&gt;=85,"Oldest Old")</f>
        <v>Child</v>
      </c>
      <c r="E651" t="s">
        <v>12</v>
      </c>
      <c r="F651" s="4">
        <v>46008</v>
      </c>
      <c r="G651" s="4">
        <v>46012</v>
      </c>
      <c r="H651" s="7">
        <f t="shared" si="30"/>
        <v>4</v>
      </c>
      <c r="I651" t="s">
        <v>49</v>
      </c>
      <c r="J651" t="s">
        <v>130</v>
      </c>
      <c r="K651" s="2">
        <v>4752.84</v>
      </c>
      <c r="L651" s="9">
        <v>0.8</v>
      </c>
      <c r="M651" s="15">
        <f t="shared" si="31"/>
        <v>3802.2720000000004</v>
      </c>
      <c r="N651" s="15">
        <f t="shared" si="32"/>
        <v>950.56799999999976</v>
      </c>
      <c r="O651" t="s">
        <v>15</v>
      </c>
    </row>
    <row r="652" spans="1:15" hidden="1" x14ac:dyDescent="0.35">
      <c r="A652" t="s">
        <v>1219</v>
      </c>
      <c r="B652" t="s">
        <v>1220</v>
      </c>
      <c r="C652">
        <v>34</v>
      </c>
      <c r="D652" s="8" t="str" cm="1">
        <f t="array" ref="D652">_xlfn.IFS(C652&lt;=2, "Infant", C652&lt;=11, "Child", C652&lt;=17, "Adolescent", C652&lt;=44, "Young Adult", C652&lt;=64, "Middle Aged", C652&lt;=84,"Young Old", C652&gt;=85,"Oldest Old")</f>
        <v>Young Adult</v>
      </c>
      <c r="E652" t="s">
        <v>12</v>
      </c>
      <c r="F652" s="4">
        <v>45435</v>
      </c>
      <c r="G652" s="4">
        <v>45436</v>
      </c>
      <c r="H652" s="7">
        <f t="shared" si="30"/>
        <v>1</v>
      </c>
      <c r="I652" t="s">
        <v>31</v>
      </c>
      <c r="J652" t="s">
        <v>53</v>
      </c>
      <c r="K652" s="2">
        <v>1394.75</v>
      </c>
      <c r="L652" s="9">
        <v>0</v>
      </c>
      <c r="M652" s="15">
        <f t="shared" si="31"/>
        <v>0</v>
      </c>
      <c r="N652" s="15">
        <f t="shared" si="32"/>
        <v>1394.75</v>
      </c>
      <c r="O652" t="s">
        <v>20</v>
      </c>
    </row>
    <row r="653" spans="1:15" hidden="1" x14ac:dyDescent="0.35">
      <c r="A653" t="s">
        <v>1221</v>
      </c>
      <c r="B653" t="s">
        <v>1222</v>
      </c>
      <c r="C653">
        <v>59</v>
      </c>
      <c r="D653" s="8" t="str" cm="1">
        <f t="array" ref="D653">_xlfn.IFS(C653&lt;=2, "Infant", C653&lt;=11, "Child", C653&lt;=17, "Adolescent", C653&lt;=44, "Young Adult", C653&lt;=64, "Middle Aged", C653&lt;=84,"Young Old", C653&gt;=85,"Oldest Old")</f>
        <v>Middle Aged</v>
      </c>
      <c r="E653" t="s">
        <v>12</v>
      </c>
      <c r="F653" s="4">
        <v>45525</v>
      </c>
      <c r="G653" s="4">
        <v>45527</v>
      </c>
      <c r="H653" s="7">
        <f t="shared" si="30"/>
        <v>2</v>
      </c>
      <c r="I653" t="s">
        <v>23</v>
      </c>
      <c r="J653" t="s">
        <v>28</v>
      </c>
      <c r="K653" s="2">
        <v>3366.33</v>
      </c>
      <c r="L653" s="9">
        <v>0.7</v>
      </c>
      <c r="M653" s="15">
        <f t="shared" si="31"/>
        <v>2356.4309999999996</v>
      </c>
      <c r="N653" s="15">
        <f t="shared" si="32"/>
        <v>1009.8990000000003</v>
      </c>
      <c r="O653" t="s">
        <v>20</v>
      </c>
    </row>
    <row r="654" spans="1:15" hidden="1" x14ac:dyDescent="0.35">
      <c r="A654" t="s">
        <v>1223</v>
      </c>
      <c r="B654" t="s">
        <v>236</v>
      </c>
      <c r="C654">
        <v>65</v>
      </c>
      <c r="D654" s="8" t="str" cm="1">
        <f t="array" ref="D654">_xlfn.IFS(C654&lt;=2, "Infant", C654&lt;=11, "Child", C654&lt;=17, "Adolescent", C654&lt;=44, "Young Adult", C654&lt;=64, "Middle Aged", C654&lt;=84,"Young Old", C654&gt;=85,"Oldest Old")</f>
        <v>Young Old</v>
      </c>
      <c r="E654" t="s">
        <v>18</v>
      </c>
      <c r="F654" s="4">
        <v>45589</v>
      </c>
      <c r="G654" s="4">
        <v>45595</v>
      </c>
      <c r="H654" s="7">
        <f t="shared" si="30"/>
        <v>6</v>
      </c>
      <c r="I654" t="s">
        <v>13</v>
      </c>
      <c r="J654" t="s">
        <v>19</v>
      </c>
      <c r="K654" s="2">
        <v>9890.23</v>
      </c>
      <c r="L654" s="9">
        <v>0.8</v>
      </c>
      <c r="M654" s="15">
        <f t="shared" si="31"/>
        <v>7912.1840000000002</v>
      </c>
      <c r="N654" s="15">
        <f t="shared" si="32"/>
        <v>1978.0459999999994</v>
      </c>
      <c r="O654" t="s">
        <v>15</v>
      </c>
    </row>
    <row r="655" spans="1:15" hidden="1" x14ac:dyDescent="0.35">
      <c r="A655" t="s">
        <v>1224</v>
      </c>
      <c r="B655" t="s">
        <v>141</v>
      </c>
      <c r="C655">
        <v>44</v>
      </c>
      <c r="D655" s="8" t="str" cm="1">
        <f t="array" ref="D655">_xlfn.IFS(C655&lt;=2, "Infant", C655&lt;=11, "Child", C655&lt;=17, "Adolescent", C655&lt;=44, "Young Adult", C655&lt;=64, "Middle Aged", C655&lt;=84,"Young Old", C655&gt;=85,"Oldest Old")</f>
        <v>Young Adult</v>
      </c>
      <c r="E655" t="s">
        <v>12</v>
      </c>
      <c r="F655" s="4">
        <v>45379</v>
      </c>
      <c r="G655" s="4">
        <v>45383</v>
      </c>
      <c r="H655" s="7">
        <f t="shared" si="30"/>
        <v>4</v>
      </c>
      <c r="I655" t="s">
        <v>13</v>
      </c>
      <c r="J655" t="s">
        <v>14</v>
      </c>
      <c r="K655" s="2">
        <v>10351.120000000001</v>
      </c>
      <c r="L655" s="9">
        <v>0.8</v>
      </c>
      <c r="M655" s="15">
        <f t="shared" si="31"/>
        <v>8280.8960000000006</v>
      </c>
      <c r="N655" s="15">
        <f t="shared" si="32"/>
        <v>2070.2240000000002</v>
      </c>
      <c r="O655" t="s">
        <v>20</v>
      </c>
    </row>
    <row r="656" spans="1:15" hidden="1" x14ac:dyDescent="0.35">
      <c r="A656" t="s">
        <v>1225</v>
      </c>
      <c r="B656" t="s">
        <v>1218</v>
      </c>
      <c r="C656">
        <v>17</v>
      </c>
      <c r="D656" s="8" t="str" cm="1">
        <f t="array" ref="D656">_xlfn.IFS(C656&lt;=2, "Infant", C656&lt;=11, "Child", C656&lt;=17, "Adolescent", C656&lt;=44, "Young Adult", C656&lt;=64, "Middle Aged", C656&lt;=84,"Young Old", C656&gt;=85,"Oldest Old")</f>
        <v>Adolescent</v>
      </c>
      <c r="E656" t="s">
        <v>12</v>
      </c>
      <c r="F656" s="4">
        <v>45955</v>
      </c>
      <c r="G656" s="4">
        <v>45956</v>
      </c>
      <c r="H656" s="7">
        <f t="shared" si="30"/>
        <v>1</v>
      </c>
      <c r="I656" t="s">
        <v>49</v>
      </c>
      <c r="J656" t="s">
        <v>50</v>
      </c>
      <c r="K656" s="2">
        <v>836.96</v>
      </c>
      <c r="L656" s="9">
        <v>0.7</v>
      </c>
      <c r="M656" s="15">
        <f t="shared" si="31"/>
        <v>585.87199999999996</v>
      </c>
      <c r="N656" s="15">
        <f t="shared" si="32"/>
        <v>251.08800000000008</v>
      </c>
      <c r="O656" t="s">
        <v>15</v>
      </c>
    </row>
    <row r="657" spans="1:15" hidden="1" x14ac:dyDescent="0.35">
      <c r="A657" t="s">
        <v>1226</v>
      </c>
      <c r="B657" t="s">
        <v>1227</v>
      </c>
      <c r="C657">
        <v>16</v>
      </c>
      <c r="D657" s="8" t="str" cm="1">
        <f t="array" ref="D657">_xlfn.IFS(C657&lt;=2, "Infant", C657&lt;=11, "Child", C657&lt;=17, "Adolescent", C657&lt;=44, "Young Adult", C657&lt;=64, "Middle Aged", C657&lt;=84,"Young Old", C657&gt;=85,"Oldest Old")</f>
        <v>Adolescent</v>
      </c>
      <c r="E657" t="s">
        <v>18</v>
      </c>
      <c r="F657" s="4">
        <v>45496</v>
      </c>
      <c r="G657" s="4">
        <v>45501</v>
      </c>
      <c r="H657" s="7">
        <f t="shared" si="30"/>
        <v>5</v>
      </c>
      <c r="I657" t="s">
        <v>49</v>
      </c>
      <c r="J657" t="s">
        <v>117</v>
      </c>
      <c r="K657" s="2">
        <v>6886.9</v>
      </c>
      <c r="L657" s="9">
        <v>0.5</v>
      </c>
      <c r="M657" s="15">
        <f t="shared" si="31"/>
        <v>3443.45</v>
      </c>
      <c r="N657" s="15">
        <f t="shared" si="32"/>
        <v>3443.45</v>
      </c>
      <c r="O657" t="s">
        <v>20</v>
      </c>
    </row>
    <row r="658" spans="1:15" hidden="1" x14ac:dyDescent="0.35">
      <c r="A658" t="s">
        <v>1228</v>
      </c>
      <c r="B658" t="s">
        <v>288</v>
      </c>
      <c r="C658">
        <v>3</v>
      </c>
      <c r="D658" s="8" t="str" cm="1">
        <f t="array" ref="D658">_xlfn.IFS(C658&lt;=2, "Infant", C658&lt;=11, "Child", C658&lt;=17, "Adolescent", C658&lt;=44, "Young Adult", C658&lt;=64, "Middle Aged", C658&lt;=84,"Young Old", C658&gt;=85,"Oldest Old")</f>
        <v>Child</v>
      </c>
      <c r="E658" t="s">
        <v>12</v>
      </c>
      <c r="F658" s="4">
        <v>45388</v>
      </c>
      <c r="G658" s="4">
        <v>45393</v>
      </c>
      <c r="H658" s="7">
        <f t="shared" si="30"/>
        <v>5</v>
      </c>
      <c r="I658" t="s">
        <v>49</v>
      </c>
      <c r="J658" t="s">
        <v>123</v>
      </c>
      <c r="K658" s="2">
        <v>7993.91</v>
      </c>
      <c r="L658" s="9">
        <v>0.9</v>
      </c>
      <c r="M658" s="15">
        <f t="shared" si="31"/>
        <v>7194.5190000000002</v>
      </c>
      <c r="N658" s="15">
        <f t="shared" si="32"/>
        <v>799.39099999999962</v>
      </c>
      <c r="O658" t="s">
        <v>25</v>
      </c>
    </row>
    <row r="659" spans="1:15" hidden="1" x14ac:dyDescent="0.35">
      <c r="A659" t="s">
        <v>1229</v>
      </c>
      <c r="B659" t="s">
        <v>890</v>
      </c>
      <c r="C659">
        <v>79</v>
      </c>
      <c r="D659" s="8" t="str" cm="1">
        <f t="array" ref="D659">_xlfn.IFS(C659&lt;=2, "Infant", C659&lt;=11, "Child", C659&lt;=17, "Adolescent", C659&lt;=44, "Young Adult", C659&lt;=64, "Middle Aged", C659&lt;=84,"Young Old", C659&gt;=85,"Oldest Old")</f>
        <v>Young Old</v>
      </c>
      <c r="E659" t="s">
        <v>12</v>
      </c>
      <c r="F659" s="4">
        <v>45926</v>
      </c>
      <c r="G659" s="4">
        <v>45933</v>
      </c>
      <c r="H659" s="7">
        <f t="shared" si="30"/>
        <v>7</v>
      </c>
      <c r="I659" t="s">
        <v>31</v>
      </c>
      <c r="J659" t="s">
        <v>53</v>
      </c>
      <c r="K659" s="2">
        <v>9475.6200000000008</v>
      </c>
      <c r="L659" s="9">
        <v>0.9</v>
      </c>
      <c r="M659" s="15">
        <f t="shared" si="31"/>
        <v>8528.0580000000009</v>
      </c>
      <c r="N659" s="15">
        <f t="shared" si="32"/>
        <v>947.5619999999999</v>
      </c>
      <c r="O659" t="s">
        <v>15</v>
      </c>
    </row>
    <row r="660" spans="1:15" hidden="1" x14ac:dyDescent="0.35">
      <c r="A660" t="s">
        <v>1230</v>
      </c>
      <c r="B660" t="s">
        <v>1011</v>
      </c>
      <c r="C660">
        <v>10</v>
      </c>
      <c r="D660" s="8" t="str" cm="1">
        <f t="array" ref="D660">_xlfn.IFS(C660&lt;=2, "Infant", C660&lt;=11, "Child", C660&lt;=17, "Adolescent", C660&lt;=44, "Young Adult", C660&lt;=64, "Middle Aged", C660&lt;=84,"Young Old", C660&gt;=85,"Oldest Old")</f>
        <v>Child</v>
      </c>
      <c r="E660" t="s">
        <v>12</v>
      </c>
      <c r="F660" s="4">
        <v>45975</v>
      </c>
      <c r="G660" s="4">
        <v>45980</v>
      </c>
      <c r="H660" s="7">
        <f t="shared" si="30"/>
        <v>5</v>
      </c>
      <c r="I660" t="s">
        <v>49</v>
      </c>
      <c r="J660" t="s">
        <v>117</v>
      </c>
      <c r="K660" s="2">
        <v>8509.42</v>
      </c>
      <c r="L660" s="9">
        <v>0</v>
      </c>
      <c r="M660" s="15">
        <f t="shared" si="31"/>
        <v>0</v>
      </c>
      <c r="N660" s="15">
        <f t="shared" si="32"/>
        <v>8509.42</v>
      </c>
      <c r="O660" t="s">
        <v>15</v>
      </c>
    </row>
    <row r="661" spans="1:15" hidden="1" x14ac:dyDescent="0.35">
      <c r="A661" t="s">
        <v>1231</v>
      </c>
      <c r="B661" t="s">
        <v>1232</v>
      </c>
      <c r="C661">
        <v>50</v>
      </c>
      <c r="D661" s="8" t="str" cm="1">
        <f t="array" ref="D661">_xlfn.IFS(C661&lt;=2, "Infant", C661&lt;=11, "Child", C661&lt;=17, "Adolescent", C661&lt;=44, "Young Adult", C661&lt;=64, "Middle Aged", C661&lt;=84,"Young Old", C661&gt;=85,"Oldest Old")</f>
        <v>Middle Aged</v>
      </c>
      <c r="E661" t="s">
        <v>12</v>
      </c>
      <c r="F661" s="4">
        <v>45635</v>
      </c>
      <c r="G661" s="4">
        <v>45643</v>
      </c>
      <c r="H661" s="7">
        <f t="shared" si="30"/>
        <v>8</v>
      </c>
      <c r="I661" t="s">
        <v>60</v>
      </c>
      <c r="J661" t="s">
        <v>77</v>
      </c>
      <c r="K661" s="2">
        <v>20107.36</v>
      </c>
      <c r="L661" s="9">
        <v>0.7</v>
      </c>
      <c r="M661" s="15">
        <f t="shared" si="31"/>
        <v>14075.152</v>
      </c>
      <c r="N661" s="15">
        <f t="shared" si="32"/>
        <v>6032.2080000000005</v>
      </c>
      <c r="O661" t="s">
        <v>15</v>
      </c>
    </row>
    <row r="662" spans="1:15" hidden="1" x14ac:dyDescent="0.35">
      <c r="A662" t="s">
        <v>1233</v>
      </c>
      <c r="B662" t="s">
        <v>1234</v>
      </c>
      <c r="C662">
        <v>29</v>
      </c>
      <c r="D662" s="8" t="str" cm="1">
        <f t="array" ref="D662">_xlfn.IFS(C662&lt;=2, "Infant", C662&lt;=11, "Child", C662&lt;=17, "Adolescent", C662&lt;=44, "Young Adult", C662&lt;=64, "Middle Aged", C662&lt;=84,"Young Old", C662&gt;=85,"Oldest Old")</f>
        <v>Young Adult</v>
      </c>
      <c r="E662" t="s">
        <v>12</v>
      </c>
      <c r="F662" s="4">
        <v>45491</v>
      </c>
      <c r="G662" s="4">
        <v>45501</v>
      </c>
      <c r="H662" s="7">
        <f t="shared" si="30"/>
        <v>10</v>
      </c>
      <c r="I662" t="s">
        <v>60</v>
      </c>
      <c r="J662" t="s">
        <v>97</v>
      </c>
      <c r="K662" s="2">
        <v>26732.79</v>
      </c>
      <c r="L662" s="9">
        <v>0.8</v>
      </c>
      <c r="M662" s="15">
        <f t="shared" si="31"/>
        <v>21386.232000000004</v>
      </c>
      <c r="N662" s="15">
        <f t="shared" si="32"/>
        <v>5346.5579999999973</v>
      </c>
      <c r="O662" t="s">
        <v>15</v>
      </c>
    </row>
    <row r="663" spans="1:15" hidden="1" x14ac:dyDescent="0.35">
      <c r="A663" t="s">
        <v>1235</v>
      </c>
      <c r="B663" t="s">
        <v>1236</v>
      </c>
      <c r="C663">
        <v>27</v>
      </c>
      <c r="D663" s="8" t="str" cm="1">
        <f t="array" ref="D663">_xlfn.IFS(C663&lt;=2, "Infant", C663&lt;=11, "Child", C663&lt;=17, "Adolescent", C663&lt;=44, "Young Adult", C663&lt;=64, "Middle Aged", C663&lt;=84,"Young Old", C663&gt;=85,"Oldest Old")</f>
        <v>Young Adult</v>
      </c>
      <c r="E663" t="s">
        <v>12</v>
      </c>
      <c r="F663" s="4">
        <v>45868</v>
      </c>
      <c r="G663" s="4">
        <v>45869</v>
      </c>
      <c r="H663" s="7">
        <f t="shared" si="30"/>
        <v>1</v>
      </c>
      <c r="I663" t="s">
        <v>23</v>
      </c>
      <c r="J663" t="s">
        <v>41</v>
      </c>
      <c r="K663" s="2">
        <v>2285.5</v>
      </c>
      <c r="L663" s="9">
        <v>0.5</v>
      </c>
      <c r="M663" s="15">
        <f t="shared" si="31"/>
        <v>1142.75</v>
      </c>
      <c r="N663" s="15">
        <f t="shared" si="32"/>
        <v>1142.75</v>
      </c>
      <c r="O663" t="s">
        <v>15</v>
      </c>
    </row>
    <row r="664" spans="1:15" hidden="1" x14ac:dyDescent="0.35">
      <c r="A664" t="s">
        <v>1237</v>
      </c>
      <c r="B664" t="s">
        <v>1238</v>
      </c>
      <c r="C664">
        <v>11</v>
      </c>
      <c r="D664" s="8" t="str" cm="1">
        <f t="array" ref="D664">_xlfn.IFS(C664&lt;=2, "Infant", C664&lt;=11, "Child", C664&lt;=17, "Adolescent", C664&lt;=44, "Young Adult", C664&lt;=64, "Middle Aged", C664&lt;=84,"Young Old", C664&gt;=85,"Oldest Old")</f>
        <v>Child</v>
      </c>
      <c r="E664" t="s">
        <v>18</v>
      </c>
      <c r="F664" s="4">
        <v>45418</v>
      </c>
      <c r="G664" s="4">
        <v>45422</v>
      </c>
      <c r="H664" s="7">
        <f t="shared" si="30"/>
        <v>4</v>
      </c>
      <c r="I664" t="s">
        <v>49</v>
      </c>
      <c r="J664" t="s">
        <v>50</v>
      </c>
      <c r="K664" s="2">
        <v>3830.25</v>
      </c>
      <c r="L664" s="9">
        <v>0.9</v>
      </c>
      <c r="M664" s="15">
        <f t="shared" si="31"/>
        <v>3447.2249999999999</v>
      </c>
      <c r="N664" s="15">
        <f t="shared" si="32"/>
        <v>383.02500000000009</v>
      </c>
      <c r="O664" t="s">
        <v>20</v>
      </c>
    </row>
    <row r="665" spans="1:15" hidden="1" x14ac:dyDescent="0.35">
      <c r="A665" t="s">
        <v>1239</v>
      </c>
      <c r="B665" t="s">
        <v>1240</v>
      </c>
      <c r="C665">
        <v>17</v>
      </c>
      <c r="D665" s="8" t="str" cm="1">
        <f t="array" ref="D665">_xlfn.IFS(C665&lt;=2, "Infant", C665&lt;=11, "Child", C665&lt;=17, "Adolescent", C665&lt;=44, "Young Adult", C665&lt;=64, "Middle Aged", C665&lt;=84,"Young Old", C665&gt;=85,"Oldest Old")</f>
        <v>Adolescent</v>
      </c>
      <c r="E665" t="s">
        <v>18</v>
      </c>
      <c r="F665" s="4">
        <v>45438</v>
      </c>
      <c r="G665" s="4">
        <v>45443</v>
      </c>
      <c r="H665" s="7">
        <f t="shared" si="30"/>
        <v>5</v>
      </c>
      <c r="I665" t="s">
        <v>49</v>
      </c>
      <c r="J665" t="s">
        <v>123</v>
      </c>
      <c r="K665" s="2">
        <v>3322.2</v>
      </c>
      <c r="L665" s="9">
        <v>0.6</v>
      </c>
      <c r="M665" s="15">
        <f t="shared" si="31"/>
        <v>1993.3199999999997</v>
      </c>
      <c r="N665" s="15">
        <f t="shared" si="32"/>
        <v>1328.88</v>
      </c>
      <c r="O665" t="s">
        <v>15</v>
      </c>
    </row>
    <row r="666" spans="1:15" hidden="1" x14ac:dyDescent="0.35">
      <c r="A666" t="s">
        <v>1241</v>
      </c>
      <c r="B666" t="s">
        <v>1242</v>
      </c>
      <c r="C666">
        <v>42</v>
      </c>
      <c r="D666" s="8" t="str" cm="1">
        <f t="array" ref="D666">_xlfn.IFS(C666&lt;=2, "Infant", C666&lt;=11, "Child", C666&lt;=17, "Adolescent", C666&lt;=44, "Young Adult", C666&lt;=64, "Middle Aged", C666&lt;=84,"Young Old", C666&gt;=85,"Oldest Old")</f>
        <v>Young Adult</v>
      </c>
      <c r="E666" t="s">
        <v>18</v>
      </c>
      <c r="F666" s="4">
        <v>45585</v>
      </c>
      <c r="G666" s="4">
        <v>45593</v>
      </c>
      <c r="H666" s="7">
        <f t="shared" si="30"/>
        <v>8</v>
      </c>
      <c r="I666" t="s">
        <v>13</v>
      </c>
      <c r="J666" t="s">
        <v>38</v>
      </c>
      <c r="K666" s="2">
        <v>16467.43</v>
      </c>
      <c r="L666" s="9">
        <v>0.7</v>
      </c>
      <c r="M666" s="15">
        <f t="shared" si="31"/>
        <v>11527.200999999999</v>
      </c>
      <c r="N666" s="15">
        <f t="shared" si="32"/>
        <v>4940.2290000000012</v>
      </c>
      <c r="O666" t="s">
        <v>15</v>
      </c>
    </row>
    <row r="667" spans="1:15" hidden="1" x14ac:dyDescent="0.35">
      <c r="A667" t="s">
        <v>1243</v>
      </c>
      <c r="B667" t="s">
        <v>79</v>
      </c>
      <c r="C667">
        <v>57</v>
      </c>
      <c r="D667" s="8" t="str" cm="1">
        <f t="array" ref="D667">_xlfn.IFS(C667&lt;=2, "Infant", C667&lt;=11, "Child", C667&lt;=17, "Adolescent", C667&lt;=44, "Young Adult", C667&lt;=64, "Middle Aged", C667&lt;=84,"Young Old", C667&gt;=85,"Oldest Old")</f>
        <v>Middle Aged</v>
      </c>
      <c r="E667" t="s">
        <v>18</v>
      </c>
      <c r="F667" s="4">
        <v>45477</v>
      </c>
      <c r="G667" s="4">
        <v>45482</v>
      </c>
      <c r="H667" s="7">
        <f t="shared" si="30"/>
        <v>5</v>
      </c>
      <c r="I667" t="s">
        <v>60</v>
      </c>
      <c r="J667" t="s">
        <v>133</v>
      </c>
      <c r="K667" s="2">
        <v>11600.46</v>
      </c>
      <c r="L667" s="9">
        <v>1</v>
      </c>
      <c r="M667" s="15">
        <f t="shared" si="31"/>
        <v>11600.46</v>
      </c>
      <c r="N667" s="15">
        <f t="shared" si="32"/>
        <v>0</v>
      </c>
      <c r="O667" t="s">
        <v>15</v>
      </c>
    </row>
    <row r="668" spans="1:15" hidden="1" x14ac:dyDescent="0.35">
      <c r="A668" t="s">
        <v>1244</v>
      </c>
      <c r="B668" t="s">
        <v>1245</v>
      </c>
      <c r="C668">
        <v>64</v>
      </c>
      <c r="D668" s="8" t="str" cm="1">
        <f t="array" ref="D668">_xlfn.IFS(C668&lt;=2, "Infant", C668&lt;=11, "Child", C668&lt;=17, "Adolescent", C668&lt;=44, "Young Adult", C668&lt;=64, "Middle Aged", C668&lt;=84,"Young Old", C668&gt;=85,"Oldest Old")</f>
        <v>Middle Aged</v>
      </c>
      <c r="E668" t="s">
        <v>12</v>
      </c>
      <c r="F668" s="4">
        <v>45334</v>
      </c>
      <c r="G668" s="4">
        <v>45344</v>
      </c>
      <c r="H668" s="7">
        <f t="shared" si="30"/>
        <v>10</v>
      </c>
      <c r="I668" t="s">
        <v>70</v>
      </c>
      <c r="J668" t="s">
        <v>157</v>
      </c>
      <c r="K668" s="2">
        <v>15327.29</v>
      </c>
      <c r="L668" s="9">
        <v>0.8</v>
      </c>
      <c r="M668" s="15">
        <f t="shared" si="31"/>
        <v>12261.832000000002</v>
      </c>
      <c r="N668" s="15">
        <f t="shared" si="32"/>
        <v>3065.4579999999987</v>
      </c>
      <c r="O668" t="s">
        <v>15</v>
      </c>
    </row>
    <row r="669" spans="1:15" hidden="1" x14ac:dyDescent="0.35">
      <c r="A669" t="s">
        <v>1246</v>
      </c>
      <c r="B669" t="s">
        <v>177</v>
      </c>
      <c r="C669">
        <v>47</v>
      </c>
      <c r="D669" s="8" t="str" cm="1">
        <f t="array" ref="D669">_xlfn.IFS(C669&lt;=2, "Infant", C669&lt;=11, "Child", C669&lt;=17, "Adolescent", C669&lt;=44, "Young Adult", C669&lt;=64, "Middle Aged", C669&lt;=84,"Young Old", C669&gt;=85,"Oldest Old")</f>
        <v>Middle Aged</v>
      </c>
      <c r="E669" t="s">
        <v>12</v>
      </c>
      <c r="F669" s="4">
        <v>45649</v>
      </c>
      <c r="G669" s="4">
        <v>45656</v>
      </c>
      <c r="H669" s="7">
        <f t="shared" si="30"/>
        <v>7</v>
      </c>
      <c r="I669" t="s">
        <v>31</v>
      </c>
      <c r="J669" t="s">
        <v>53</v>
      </c>
      <c r="K669" s="2">
        <v>6289.07</v>
      </c>
      <c r="L669" s="9">
        <v>1</v>
      </c>
      <c r="M669" s="15">
        <f t="shared" si="31"/>
        <v>6289.07</v>
      </c>
      <c r="N669" s="15">
        <f t="shared" si="32"/>
        <v>0</v>
      </c>
      <c r="O669" t="s">
        <v>20</v>
      </c>
    </row>
    <row r="670" spans="1:15" hidden="1" x14ac:dyDescent="0.35">
      <c r="A670" t="s">
        <v>1247</v>
      </c>
      <c r="B670" t="s">
        <v>1248</v>
      </c>
      <c r="C670">
        <v>45</v>
      </c>
      <c r="D670" s="8" t="str" cm="1">
        <f t="array" ref="D670">_xlfn.IFS(C670&lt;=2, "Infant", C670&lt;=11, "Child", C670&lt;=17, "Adolescent", C670&lt;=44, "Young Adult", C670&lt;=64, "Middle Aged", C670&lt;=84,"Young Old", C670&gt;=85,"Oldest Old")</f>
        <v>Middle Aged</v>
      </c>
      <c r="E670" t="s">
        <v>18</v>
      </c>
      <c r="F670" s="4">
        <v>45661</v>
      </c>
      <c r="G670" s="4">
        <v>45664</v>
      </c>
      <c r="H670" s="7">
        <f t="shared" si="30"/>
        <v>3</v>
      </c>
      <c r="I670" t="s">
        <v>70</v>
      </c>
      <c r="J670" t="s">
        <v>295</v>
      </c>
      <c r="K670" s="2">
        <v>4517.8599999999997</v>
      </c>
      <c r="L670" s="9">
        <v>0.8</v>
      </c>
      <c r="M670" s="15">
        <f t="shared" si="31"/>
        <v>3614.288</v>
      </c>
      <c r="N670" s="15">
        <f t="shared" si="32"/>
        <v>903.57199999999966</v>
      </c>
      <c r="O670" t="s">
        <v>20</v>
      </c>
    </row>
    <row r="671" spans="1:15" hidden="1" x14ac:dyDescent="0.35">
      <c r="A671" t="s">
        <v>1249</v>
      </c>
      <c r="B671" t="s">
        <v>932</v>
      </c>
      <c r="C671">
        <v>13</v>
      </c>
      <c r="D671" s="8" t="str" cm="1">
        <f t="array" ref="D671">_xlfn.IFS(C671&lt;=2, "Infant", C671&lt;=11, "Child", C671&lt;=17, "Adolescent", C671&lt;=44, "Young Adult", C671&lt;=64, "Middle Aged", C671&lt;=84,"Young Old", C671&gt;=85,"Oldest Old")</f>
        <v>Adolescent</v>
      </c>
      <c r="E671" t="s">
        <v>18</v>
      </c>
      <c r="F671" s="4">
        <v>45493</v>
      </c>
      <c r="G671" s="4">
        <v>45495</v>
      </c>
      <c r="H671" s="7">
        <f t="shared" si="30"/>
        <v>2</v>
      </c>
      <c r="I671" t="s">
        <v>49</v>
      </c>
      <c r="J671" t="s">
        <v>120</v>
      </c>
      <c r="K671" s="2">
        <v>3226.45</v>
      </c>
      <c r="L671" s="9">
        <v>0.9</v>
      </c>
      <c r="M671" s="15">
        <f t="shared" si="31"/>
        <v>2903.8049999999998</v>
      </c>
      <c r="N671" s="15">
        <f t="shared" si="32"/>
        <v>322.64499999999998</v>
      </c>
      <c r="O671" t="s">
        <v>15</v>
      </c>
    </row>
    <row r="672" spans="1:15" hidden="1" x14ac:dyDescent="0.35">
      <c r="A672" t="s">
        <v>1250</v>
      </c>
      <c r="B672" t="s">
        <v>139</v>
      </c>
      <c r="C672">
        <v>2</v>
      </c>
      <c r="D672" s="8" t="str" cm="1">
        <f t="array" ref="D672">_xlfn.IFS(C672&lt;=2, "Infant", C672&lt;=11, "Child", C672&lt;=17, "Adolescent", C672&lt;=44, "Young Adult", C672&lt;=64, "Middle Aged", C672&lt;=84,"Young Old", C672&gt;=85,"Oldest Old")</f>
        <v>Infant</v>
      </c>
      <c r="E672" t="s">
        <v>18</v>
      </c>
      <c r="F672" s="4">
        <v>45369</v>
      </c>
      <c r="G672" s="4">
        <v>45371</v>
      </c>
      <c r="H672" s="7">
        <f t="shared" si="30"/>
        <v>2</v>
      </c>
      <c r="I672" t="s">
        <v>49</v>
      </c>
      <c r="J672" t="s">
        <v>378</v>
      </c>
      <c r="K672" s="2">
        <v>1704.46</v>
      </c>
      <c r="L672" s="9">
        <v>0.6</v>
      </c>
      <c r="M672" s="15">
        <f t="shared" si="31"/>
        <v>1022.6759999999999</v>
      </c>
      <c r="N672" s="15">
        <f t="shared" si="32"/>
        <v>681.78400000000011</v>
      </c>
      <c r="O672" t="s">
        <v>20</v>
      </c>
    </row>
    <row r="673" spans="1:15" hidden="1" x14ac:dyDescent="0.35">
      <c r="A673" t="s">
        <v>1251</v>
      </c>
      <c r="B673" t="s">
        <v>1024</v>
      </c>
      <c r="C673">
        <v>55</v>
      </c>
      <c r="D673" s="8" t="str" cm="1">
        <f t="array" ref="D673">_xlfn.IFS(C673&lt;=2, "Infant", C673&lt;=11, "Child", C673&lt;=17, "Adolescent", C673&lt;=44, "Young Adult", C673&lt;=64, "Middle Aged", C673&lt;=84,"Young Old", C673&gt;=85,"Oldest Old")</f>
        <v>Middle Aged</v>
      </c>
      <c r="E673" t="s">
        <v>12</v>
      </c>
      <c r="F673" s="4">
        <v>45855</v>
      </c>
      <c r="G673" s="4">
        <v>45856</v>
      </c>
      <c r="H673" s="7">
        <f t="shared" si="30"/>
        <v>1</v>
      </c>
      <c r="I673" t="s">
        <v>31</v>
      </c>
      <c r="J673" t="s">
        <v>87</v>
      </c>
      <c r="K673" s="2">
        <v>921.05</v>
      </c>
      <c r="L673" s="9">
        <v>0.7</v>
      </c>
      <c r="M673" s="15">
        <f t="shared" si="31"/>
        <v>644.7349999999999</v>
      </c>
      <c r="N673" s="15">
        <f t="shared" si="32"/>
        <v>276.31500000000005</v>
      </c>
      <c r="O673" t="s">
        <v>25</v>
      </c>
    </row>
    <row r="674" spans="1:15" hidden="1" x14ac:dyDescent="0.35">
      <c r="A674" t="s">
        <v>1252</v>
      </c>
      <c r="B674" t="s">
        <v>1253</v>
      </c>
      <c r="C674">
        <v>78</v>
      </c>
      <c r="D674" s="8" t="str" cm="1">
        <f t="array" ref="D674">_xlfn.IFS(C674&lt;=2, "Infant", C674&lt;=11, "Child", C674&lt;=17, "Adolescent", C674&lt;=44, "Young Adult", C674&lt;=64, "Middle Aged", C674&lt;=84,"Young Old", C674&gt;=85,"Oldest Old")</f>
        <v>Young Old</v>
      </c>
      <c r="E674" t="s">
        <v>18</v>
      </c>
      <c r="F674" s="4">
        <v>45404</v>
      </c>
      <c r="G674" s="4">
        <v>45411</v>
      </c>
      <c r="H674" s="7">
        <f t="shared" si="30"/>
        <v>7</v>
      </c>
      <c r="I674" t="s">
        <v>31</v>
      </c>
      <c r="J674" t="s">
        <v>114</v>
      </c>
      <c r="K674" s="2">
        <v>3751.44</v>
      </c>
      <c r="L674" s="9">
        <v>0.8</v>
      </c>
      <c r="M674" s="15">
        <f t="shared" si="31"/>
        <v>3001.152</v>
      </c>
      <c r="N674" s="15">
        <f t="shared" si="32"/>
        <v>750.28800000000001</v>
      </c>
      <c r="O674" t="s">
        <v>15</v>
      </c>
    </row>
    <row r="675" spans="1:15" hidden="1" x14ac:dyDescent="0.35">
      <c r="A675" t="s">
        <v>1254</v>
      </c>
      <c r="B675" t="s">
        <v>1255</v>
      </c>
      <c r="C675">
        <v>73</v>
      </c>
      <c r="D675" s="8" t="str" cm="1">
        <f t="array" ref="D675">_xlfn.IFS(C675&lt;=2, "Infant", C675&lt;=11, "Child", C675&lt;=17, "Adolescent", C675&lt;=44, "Young Adult", C675&lt;=64, "Middle Aged", C675&lt;=84,"Young Old", C675&gt;=85,"Oldest Old")</f>
        <v>Young Old</v>
      </c>
      <c r="E675" t="s">
        <v>12</v>
      </c>
      <c r="F675" s="4">
        <v>45855</v>
      </c>
      <c r="G675" s="4">
        <v>45859</v>
      </c>
      <c r="H675" s="7">
        <f t="shared" si="30"/>
        <v>4</v>
      </c>
      <c r="I675" t="s">
        <v>31</v>
      </c>
      <c r="J675" t="s">
        <v>35</v>
      </c>
      <c r="K675" s="2">
        <v>5182.1499999999996</v>
      </c>
      <c r="L675" s="9">
        <v>0.7</v>
      </c>
      <c r="M675" s="15">
        <f t="shared" si="31"/>
        <v>3627.5049999999997</v>
      </c>
      <c r="N675" s="15">
        <f t="shared" si="32"/>
        <v>1554.645</v>
      </c>
      <c r="O675" t="s">
        <v>25</v>
      </c>
    </row>
    <row r="676" spans="1:15" hidden="1" x14ac:dyDescent="0.35">
      <c r="A676" t="s">
        <v>1256</v>
      </c>
      <c r="B676" t="s">
        <v>384</v>
      </c>
      <c r="C676">
        <v>57</v>
      </c>
      <c r="D676" s="8" t="str" cm="1">
        <f t="array" ref="D676">_xlfn.IFS(C676&lt;=2, "Infant", C676&lt;=11, "Child", C676&lt;=17, "Adolescent", C676&lt;=44, "Young Adult", C676&lt;=64, "Middle Aged", C676&lt;=84,"Young Old", C676&gt;=85,"Oldest Old")</f>
        <v>Middle Aged</v>
      </c>
      <c r="E676" t="s">
        <v>12</v>
      </c>
      <c r="F676" s="4">
        <v>45965</v>
      </c>
      <c r="G676" s="4">
        <v>45971</v>
      </c>
      <c r="H676" s="7">
        <f t="shared" si="30"/>
        <v>6</v>
      </c>
      <c r="I676" t="s">
        <v>13</v>
      </c>
      <c r="J676" t="s">
        <v>14</v>
      </c>
      <c r="K676" s="2">
        <v>13365.24</v>
      </c>
      <c r="L676" s="9">
        <v>0.7</v>
      </c>
      <c r="M676" s="15">
        <f t="shared" si="31"/>
        <v>9355.6679999999997</v>
      </c>
      <c r="N676" s="15">
        <f t="shared" si="32"/>
        <v>4009.5720000000001</v>
      </c>
      <c r="O676" t="s">
        <v>25</v>
      </c>
    </row>
    <row r="677" spans="1:15" hidden="1" x14ac:dyDescent="0.35">
      <c r="A677" t="s">
        <v>1257</v>
      </c>
      <c r="B677" t="s">
        <v>1258</v>
      </c>
      <c r="C677">
        <v>75</v>
      </c>
      <c r="D677" s="8" t="str" cm="1">
        <f t="array" ref="D677">_xlfn.IFS(C677&lt;=2, "Infant", C677&lt;=11, "Child", C677&lt;=17, "Adolescent", C677&lt;=44, "Young Adult", C677&lt;=64, "Middle Aged", C677&lt;=84,"Young Old", C677&gt;=85,"Oldest Old")</f>
        <v>Young Old</v>
      </c>
      <c r="E677" t="s">
        <v>18</v>
      </c>
      <c r="F677" s="4">
        <v>45956</v>
      </c>
      <c r="G677" s="4">
        <v>45967</v>
      </c>
      <c r="H677" s="7">
        <f t="shared" si="30"/>
        <v>11</v>
      </c>
      <c r="I677" t="s">
        <v>60</v>
      </c>
      <c r="J677" t="s">
        <v>97</v>
      </c>
      <c r="K677" s="2">
        <v>14351.59</v>
      </c>
      <c r="L677" s="9">
        <v>0.5</v>
      </c>
      <c r="M677" s="15">
        <f t="shared" si="31"/>
        <v>7175.7950000000001</v>
      </c>
      <c r="N677" s="15">
        <f t="shared" si="32"/>
        <v>7175.7950000000001</v>
      </c>
      <c r="O677" t="s">
        <v>15</v>
      </c>
    </row>
    <row r="678" spans="1:15" hidden="1" x14ac:dyDescent="0.35">
      <c r="A678" t="s">
        <v>1259</v>
      </c>
      <c r="B678" t="s">
        <v>1236</v>
      </c>
      <c r="C678">
        <v>2</v>
      </c>
      <c r="D678" s="8" t="str" cm="1">
        <f t="array" ref="D678">_xlfn.IFS(C678&lt;=2, "Infant", C678&lt;=11, "Child", C678&lt;=17, "Adolescent", C678&lt;=44, "Young Adult", C678&lt;=64, "Middle Aged", C678&lt;=84,"Young Old", C678&gt;=85,"Oldest Old")</f>
        <v>Infant</v>
      </c>
      <c r="E678" t="s">
        <v>12</v>
      </c>
      <c r="F678" s="4">
        <v>45814</v>
      </c>
      <c r="G678" s="4">
        <v>45815</v>
      </c>
      <c r="H678" s="7">
        <f t="shared" si="30"/>
        <v>1</v>
      </c>
      <c r="I678" t="s">
        <v>49</v>
      </c>
      <c r="J678" t="s">
        <v>120</v>
      </c>
      <c r="K678" s="2">
        <v>1340.39</v>
      </c>
      <c r="L678" s="9">
        <v>0.8</v>
      </c>
      <c r="M678" s="15">
        <f t="shared" si="31"/>
        <v>1072.3120000000001</v>
      </c>
      <c r="N678" s="15">
        <f t="shared" si="32"/>
        <v>268.07799999999997</v>
      </c>
      <c r="O678" t="s">
        <v>25</v>
      </c>
    </row>
    <row r="679" spans="1:15" hidden="1" x14ac:dyDescent="0.35">
      <c r="A679" t="s">
        <v>1260</v>
      </c>
      <c r="B679" t="s">
        <v>1261</v>
      </c>
      <c r="C679">
        <v>61</v>
      </c>
      <c r="D679" s="8" t="str" cm="1">
        <f t="array" ref="D679">_xlfn.IFS(C679&lt;=2, "Infant", C679&lt;=11, "Child", C679&lt;=17, "Adolescent", C679&lt;=44, "Young Adult", C679&lt;=64, "Middle Aged", C679&lt;=84,"Young Old", C679&gt;=85,"Oldest Old")</f>
        <v>Middle Aged</v>
      </c>
      <c r="E679" t="s">
        <v>12</v>
      </c>
      <c r="F679" s="4">
        <v>45900</v>
      </c>
      <c r="G679" s="4">
        <v>45902</v>
      </c>
      <c r="H679" s="7">
        <f t="shared" si="30"/>
        <v>2</v>
      </c>
      <c r="I679" t="s">
        <v>31</v>
      </c>
      <c r="J679" t="s">
        <v>234</v>
      </c>
      <c r="K679" s="2">
        <v>2477.89</v>
      </c>
      <c r="L679" s="9">
        <v>0.8</v>
      </c>
      <c r="M679" s="15">
        <f t="shared" si="31"/>
        <v>1982.3119999999999</v>
      </c>
      <c r="N679" s="15">
        <f t="shared" si="32"/>
        <v>495.57799999999997</v>
      </c>
      <c r="O679" t="s">
        <v>20</v>
      </c>
    </row>
    <row r="680" spans="1:15" hidden="1" x14ac:dyDescent="0.35">
      <c r="A680" t="s">
        <v>1262</v>
      </c>
      <c r="B680" t="s">
        <v>735</v>
      </c>
      <c r="C680">
        <v>6</v>
      </c>
      <c r="D680" s="8" t="str" cm="1">
        <f t="array" ref="D680">_xlfn.IFS(C680&lt;=2, "Infant", C680&lt;=11, "Child", C680&lt;=17, "Adolescent", C680&lt;=44, "Young Adult", C680&lt;=64, "Middle Aged", C680&lt;=84,"Young Old", C680&gt;=85,"Oldest Old")</f>
        <v>Child</v>
      </c>
      <c r="E680" t="s">
        <v>18</v>
      </c>
      <c r="F680" s="4">
        <v>45981</v>
      </c>
      <c r="G680" s="4">
        <v>45983</v>
      </c>
      <c r="H680" s="7">
        <f t="shared" si="30"/>
        <v>2</v>
      </c>
      <c r="I680" t="s">
        <v>49</v>
      </c>
      <c r="J680" t="s">
        <v>130</v>
      </c>
      <c r="K680" s="2">
        <v>1871.78</v>
      </c>
      <c r="L680" s="9">
        <v>0.8</v>
      </c>
      <c r="M680" s="15">
        <f t="shared" si="31"/>
        <v>1497.424</v>
      </c>
      <c r="N680" s="15">
        <f t="shared" si="32"/>
        <v>374.35599999999999</v>
      </c>
      <c r="O680" t="s">
        <v>20</v>
      </c>
    </row>
    <row r="681" spans="1:15" hidden="1" x14ac:dyDescent="0.35">
      <c r="A681" t="s">
        <v>1263</v>
      </c>
      <c r="B681" t="s">
        <v>1264</v>
      </c>
      <c r="C681">
        <v>36</v>
      </c>
      <c r="D681" s="8" t="str" cm="1">
        <f t="array" ref="D681">_xlfn.IFS(C681&lt;=2, "Infant", C681&lt;=11, "Child", C681&lt;=17, "Adolescent", C681&lt;=44, "Young Adult", C681&lt;=64, "Middle Aged", C681&lt;=84,"Young Old", C681&gt;=85,"Oldest Old")</f>
        <v>Young Adult</v>
      </c>
      <c r="E681" t="s">
        <v>18</v>
      </c>
      <c r="F681" s="4">
        <v>45495</v>
      </c>
      <c r="G681" s="4">
        <v>45497</v>
      </c>
      <c r="H681" s="7">
        <f t="shared" si="30"/>
        <v>2</v>
      </c>
      <c r="I681" t="s">
        <v>23</v>
      </c>
      <c r="J681" t="s">
        <v>204</v>
      </c>
      <c r="K681" s="2">
        <v>3205.01</v>
      </c>
      <c r="L681" s="9">
        <v>0.7</v>
      </c>
      <c r="M681" s="15">
        <f t="shared" si="31"/>
        <v>2243.5070000000001</v>
      </c>
      <c r="N681" s="15">
        <f t="shared" si="32"/>
        <v>961.50300000000016</v>
      </c>
      <c r="O681" t="s">
        <v>15</v>
      </c>
    </row>
    <row r="682" spans="1:15" hidden="1" x14ac:dyDescent="0.35">
      <c r="A682" t="s">
        <v>1265</v>
      </c>
      <c r="B682" t="s">
        <v>1266</v>
      </c>
      <c r="C682">
        <v>52</v>
      </c>
      <c r="D682" s="8" t="str" cm="1">
        <f t="array" ref="D682">_xlfn.IFS(C682&lt;=2, "Infant", C682&lt;=11, "Child", C682&lt;=17, "Adolescent", C682&lt;=44, "Young Adult", C682&lt;=64, "Middle Aged", C682&lt;=84,"Young Old", C682&gt;=85,"Oldest Old")</f>
        <v>Middle Aged</v>
      </c>
      <c r="E682" t="s">
        <v>18</v>
      </c>
      <c r="F682" s="4">
        <v>45726</v>
      </c>
      <c r="G682" s="4">
        <v>45727</v>
      </c>
      <c r="H682" s="7">
        <f t="shared" si="30"/>
        <v>1</v>
      </c>
      <c r="I682" t="s">
        <v>31</v>
      </c>
      <c r="J682" t="s">
        <v>44</v>
      </c>
      <c r="K682" s="2">
        <v>1148.98</v>
      </c>
      <c r="L682" s="9">
        <v>0.5</v>
      </c>
      <c r="M682" s="15">
        <f t="shared" si="31"/>
        <v>574.49</v>
      </c>
      <c r="N682" s="15">
        <f t="shared" si="32"/>
        <v>574.49</v>
      </c>
      <c r="O682" t="s">
        <v>25</v>
      </c>
    </row>
    <row r="683" spans="1:15" hidden="1" x14ac:dyDescent="0.35">
      <c r="A683" t="s">
        <v>1267</v>
      </c>
      <c r="B683" t="s">
        <v>1268</v>
      </c>
      <c r="C683">
        <v>6</v>
      </c>
      <c r="D683" s="8" t="str" cm="1">
        <f t="array" ref="D683">_xlfn.IFS(C683&lt;=2, "Infant", C683&lt;=11, "Child", C683&lt;=17, "Adolescent", C683&lt;=44, "Young Adult", C683&lt;=64, "Middle Aged", C683&lt;=84,"Young Old", C683&gt;=85,"Oldest Old")</f>
        <v>Child</v>
      </c>
      <c r="E683" t="s">
        <v>18</v>
      </c>
      <c r="F683" s="4">
        <v>45952</v>
      </c>
      <c r="G683" s="4">
        <v>45954</v>
      </c>
      <c r="H683" s="7">
        <f t="shared" si="30"/>
        <v>2</v>
      </c>
      <c r="I683" t="s">
        <v>49</v>
      </c>
      <c r="J683" t="s">
        <v>130</v>
      </c>
      <c r="K683" s="2">
        <v>2502.7199999999998</v>
      </c>
      <c r="L683" s="9">
        <v>0.8</v>
      </c>
      <c r="M683" s="15">
        <f t="shared" si="31"/>
        <v>2002.1759999999999</v>
      </c>
      <c r="N683" s="15">
        <f t="shared" si="32"/>
        <v>500.54399999999987</v>
      </c>
      <c r="O683" t="s">
        <v>15</v>
      </c>
    </row>
    <row r="684" spans="1:15" hidden="1" x14ac:dyDescent="0.35">
      <c r="A684" t="s">
        <v>1269</v>
      </c>
      <c r="B684" t="s">
        <v>1109</v>
      </c>
      <c r="C684">
        <v>68</v>
      </c>
      <c r="D684" s="8" t="str" cm="1">
        <f t="array" ref="D684">_xlfn.IFS(C684&lt;=2, "Infant", C684&lt;=11, "Child", C684&lt;=17, "Adolescent", C684&lt;=44, "Young Adult", C684&lt;=64, "Middle Aged", C684&lt;=84,"Young Old", C684&gt;=85,"Oldest Old")</f>
        <v>Young Old</v>
      </c>
      <c r="E684" t="s">
        <v>12</v>
      </c>
      <c r="F684" s="4">
        <v>45652</v>
      </c>
      <c r="G684" s="4">
        <v>45662</v>
      </c>
      <c r="H684" s="7">
        <f t="shared" si="30"/>
        <v>10</v>
      </c>
      <c r="I684" t="s">
        <v>60</v>
      </c>
      <c r="J684" t="s">
        <v>97</v>
      </c>
      <c r="K684" s="2">
        <v>23367.19</v>
      </c>
      <c r="L684" s="9">
        <v>0.8</v>
      </c>
      <c r="M684" s="15">
        <f t="shared" si="31"/>
        <v>18693.752</v>
      </c>
      <c r="N684" s="15">
        <f t="shared" si="32"/>
        <v>4673.4379999999983</v>
      </c>
      <c r="O684" t="s">
        <v>25</v>
      </c>
    </row>
    <row r="685" spans="1:15" hidden="1" x14ac:dyDescent="0.35">
      <c r="A685" t="s">
        <v>1270</v>
      </c>
      <c r="B685" t="s">
        <v>1271</v>
      </c>
      <c r="C685">
        <v>54</v>
      </c>
      <c r="D685" s="8" t="str" cm="1">
        <f t="array" ref="D685">_xlfn.IFS(C685&lt;=2, "Infant", C685&lt;=11, "Child", C685&lt;=17, "Adolescent", C685&lt;=44, "Young Adult", C685&lt;=64, "Middle Aged", C685&lt;=84,"Young Old", C685&gt;=85,"Oldest Old")</f>
        <v>Middle Aged</v>
      </c>
      <c r="E685" t="s">
        <v>12</v>
      </c>
      <c r="F685" s="4">
        <v>45917</v>
      </c>
      <c r="G685" s="4">
        <v>45929</v>
      </c>
      <c r="H685" s="7">
        <f t="shared" si="30"/>
        <v>12</v>
      </c>
      <c r="I685" t="s">
        <v>60</v>
      </c>
      <c r="J685" t="s">
        <v>77</v>
      </c>
      <c r="K685" s="2">
        <v>14220.87</v>
      </c>
      <c r="L685" s="9">
        <v>0.8</v>
      </c>
      <c r="M685" s="15">
        <f t="shared" si="31"/>
        <v>11376.696000000002</v>
      </c>
      <c r="N685" s="15">
        <f t="shared" si="32"/>
        <v>2844.1739999999991</v>
      </c>
      <c r="O685" t="s">
        <v>15</v>
      </c>
    </row>
    <row r="686" spans="1:15" hidden="1" x14ac:dyDescent="0.35">
      <c r="A686" t="s">
        <v>1272</v>
      </c>
      <c r="B686" t="s">
        <v>975</v>
      </c>
      <c r="C686">
        <v>7</v>
      </c>
      <c r="D686" s="8" t="str" cm="1">
        <f t="array" ref="D686">_xlfn.IFS(C686&lt;=2, "Infant", C686&lt;=11, "Child", C686&lt;=17, "Adolescent", C686&lt;=44, "Young Adult", C686&lt;=64, "Middle Aged", C686&lt;=84,"Young Old", C686&gt;=85,"Oldest Old")</f>
        <v>Child</v>
      </c>
      <c r="E686" t="s">
        <v>12</v>
      </c>
      <c r="F686" s="4">
        <v>45738</v>
      </c>
      <c r="G686" s="4">
        <v>45741</v>
      </c>
      <c r="H686" s="7">
        <f t="shared" si="30"/>
        <v>3</v>
      </c>
      <c r="I686" t="s">
        <v>49</v>
      </c>
      <c r="J686" t="s">
        <v>120</v>
      </c>
      <c r="K686" s="2">
        <v>2954.11</v>
      </c>
      <c r="L686" s="9">
        <v>0.8</v>
      </c>
      <c r="M686" s="15">
        <f t="shared" si="31"/>
        <v>2363.288</v>
      </c>
      <c r="N686" s="15">
        <f t="shared" si="32"/>
        <v>590.82200000000012</v>
      </c>
      <c r="O686" t="s">
        <v>15</v>
      </c>
    </row>
    <row r="687" spans="1:15" hidden="1" x14ac:dyDescent="0.35">
      <c r="A687" t="s">
        <v>1273</v>
      </c>
      <c r="B687" t="s">
        <v>969</v>
      </c>
      <c r="C687">
        <v>17</v>
      </c>
      <c r="D687" s="8" t="str" cm="1">
        <f t="array" ref="D687">_xlfn.IFS(C687&lt;=2, "Infant", C687&lt;=11, "Child", C687&lt;=17, "Adolescent", C687&lt;=44, "Young Adult", C687&lt;=64, "Middle Aged", C687&lt;=84,"Young Old", C687&gt;=85,"Oldest Old")</f>
        <v>Adolescent</v>
      </c>
      <c r="E687" t="s">
        <v>18</v>
      </c>
      <c r="F687" s="4">
        <v>45984</v>
      </c>
      <c r="G687" s="4">
        <v>45985</v>
      </c>
      <c r="H687" s="7">
        <f t="shared" si="30"/>
        <v>1</v>
      </c>
      <c r="I687" t="s">
        <v>49</v>
      </c>
      <c r="J687" t="s">
        <v>130</v>
      </c>
      <c r="K687" s="2">
        <v>609.66</v>
      </c>
      <c r="L687" s="9">
        <v>0.9</v>
      </c>
      <c r="M687" s="15">
        <f t="shared" si="31"/>
        <v>548.69399999999996</v>
      </c>
      <c r="N687" s="15">
        <f t="shared" si="32"/>
        <v>60.966000000000008</v>
      </c>
      <c r="O687" t="s">
        <v>25</v>
      </c>
    </row>
    <row r="688" spans="1:15" hidden="1" x14ac:dyDescent="0.35">
      <c r="A688" t="s">
        <v>1274</v>
      </c>
      <c r="B688" t="s">
        <v>435</v>
      </c>
      <c r="C688">
        <v>59</v>
      </c>
      <c r="D688" s="8" t="str" cm="1">
        <f t="array" ref="D688">_xlfn.IFS(C688&lt;=2, "Infant", C688&lt;=11, "Child", C688&lt;=17, "Adolescent", C688&lt;=44, "Young Adult", C688&lt;=64, "Middle Aged", C688&lt;=84,"Young Old", C688&gt;=85,"Oldest Old")</f>
        <v>Middle Aged</v>
      </c>
      <c r="E688" t="s">
        <v>12</v>
      </c>
      <c r="F688" s="4">
        <v>45967</v>
      </c>
      <c r="G688" s="4">
        <v>45971</v>
      </c>
      <c r="H688" s="7">
        <f t="shared" si="30"/>
        <v>4</v>
      </c>
      <c r="I688" t="s">
        <v>60</v>
      </c>
      <c r="J688" t="s">
        <v>133</v>
      </c>
      <c r="K688" s="2">
        <v>8093.46</v>
      </c>
      <c r="L688" s="9">
        <v>0.8</v>
      </c>
      <c r="M688" s="15">
        <f t="shared" si="31"/>
        <v>6474.768</v>
      </c>
      <c r="N688" s="15">
        <f t="shared" si="32"/>
        <v>1618.692</v>
      </c>
      <c r="O688" t="s">
        <v>15</v>
      </c>
    </row>
    <row r="689" spans="1:15" hidden="1" x14ac:dyDescent="0.35">
      <c r="A689" t="s">
        <v>1275</v>
      </c>
      <c r="B689" t="s">
        <v>1276</v>
      </c>
      <c r="C689">
        <v>81</v>
      </c>
      <c r="D689" s="8" t="str" cm="1">
        <f t="array" ref="D689">_xlfn.IFS(C689&lt;=2, "Infant", C689&lt;=11, "Child", C689&lt;=17, "Adolescent", C689&lt;=44, "Young Adult", C689&lt;=64, "Middle Aged", C689&lt;=84,"Young Old", C689&gt;=85,"Oldest Old")</f>
        <v>Young Old</v>
      </c>
      <c r="E689" t="s">
        <v>12</v>
      </c>
      <c r="F689" s="4">
        <v>45746</v>
      </c>
      <c r="G689" s="4">
        <v>45747</v>
      </c>
      <c r="H689" s="7">
        <f t="shared" si="30"/>
        <v>1</v>
      </c>
      <c r="I689" t="s">
        <v>23</v>
      </c>
      <c r="J689" t="s">
        <v>333</v>
      </c>
      <c r="K689" s="2">
        <v>2072.19</v>
      </c>
      <c r="L689" s="9">
        <v>0.6</v>
      </c>
      <c r="M689" s="15">
        <f t="shared" si="31"/>
        <v>1243.3140000000001</v>
      </c>
      <c r="N689" s="15">
        <f t="shared" si="32"/>
        <v>828.87599999999998</v>
      </c>
      <c r="O689" t="s">
        <v>25</v>
      </c>
    </row>
    <row r="690" spans="1:15" hidden="1" x14ac:dyDescent="0.35">
      <c r="A690" t="s">
        <v>1277</v>
      </c>
      <c r="B690" t="s">
        <v>1278</v>
      </c>
      <c r="C690">
        <v>21</v>
      </c>
      <c r="D690" s="8" t="str" cm="1">
        <f t="array" ref="D690">_xlfn.IFS(C690&lt;=2, "Infant", C690&lt;=11, "Child", C690&lt;=17, "Adolescent", C690&lt;=44, "Young Adult", C690&lt;=64, "Middle Aged", C690&lt;=84,"Young Old", C690&gt;=85,"Oldest Old")</f>
        <v>Young Adult</v>
      </c>
      <c r="E690" t="s">
        <v>18</v>
      </c>
      <c r="F690" s="4">
        <v>46003</v>
      </c>
      <c r="G690" s="4">
        <v>46005</v>
      </c>
      <c r="H690" s="7">
        <f t="shared" si="30"/>
        <v>2</v>
      </c>
      <c r="I690" t="s">
        <v>23</v>
      </c>
      <c r="J690" t="s">
        <v>82</v>
      </c>
      <c r="K690" s="2">
        <v>1895.35</v>
      </c>
      <c r="L690" s="9">
        <v>0.5</v>
      </c>
      <c r="M690" s="15">
        <f t="shared" si="31"/>
        <v>947.67499999999995</v>
      </c>
      <c r="N690" s="15">
        <f t="shared" si="32"/>
        <v>947.67499999999995</v>
      </c>
      <c r="O690" t="s">
        <v>20</v>
      </c>
    </row>
    <row r="691" spans="1:15" hidden="1" x14ac:dyDescent="0.35">
      <c r="A691" t="s">
        <v>1279</v>
      </c>
      <c r="B691" t="s">
        <v>1280</v>
      </c>
      <c r="C691">
        <v>32</v>
      </c>
      <c r="D691" s="8" t="str" cm="1">
        <f t="array" ref="D691">_xlfn.IFS(C691&lt;=2, "Infant", C691&lt;=11, "Child", C691&lt;=17, "Adolescent", C691&lt;=44, "Young Adult", C691&lt;=64, "Middle Aged", C691&lt;=84,"Young Old", C691&gt;=85,"Oldest Old")</f>
        <v>Young Adult</v>
      </c>
      <c r="E691" t="s">
        <v>12</v>
      </c>
      <c r="F691" s="4">
        <v>45995</v>
      </c>
      <c r="G691" s="4">
        <v>45996</v>
      </c>
      <c r="H691" s="7">
        <f t="shared" si="30"/>
        <v>1</v>
      </c>
      <c r="I691" t="s">
        <v>31</v>
      </c>
      <c r="J691" t="s">
        <v>35</v>
      </c>
      <c r="K691" s="2">
        <v>1195.19</v>
      </c>
      <c r="L691" s="9">
        <v>1</v>
      </c>
      <c r="M691" s="15">
        <f t="shared" si="31"/>
        <v>1195.19</v>
      </c>
      <c r="N691" s="15">
        <f t="shared" si="32"/>
        <v>0</v>
      </c>
      <c r="O691" t="s">
        <v>15</v>
      </c>
    </row>
    <row r="692" spans="1:15" hidden="1" x14ac:dyDescent="0.35">
      <c r="A692" t="s">
        <v>1281</v>
      </c>
      <c r="B692" t="s">
        <v>1282</v>
      </c>
      <c r="C692">
        <v>59</v>
      </c>
      <c r="D692" s="8" t="str" cm="1">
        <f t="array" ref="D692">_xlfn.IFS(C692&lt;=2, "Infant", C692&lt;=11, "Child", C692&lt;=17, "Adolescent", C692&lt;=44, "Young Adult", C692&lt;=64, "Middle Aged", C692&lt;=84,"Young Old", C692&gt;=85,"Oldest Old")</f>
        <v>Middle Aged</v>
      </c>
      <c r="E692" t="s">
        <v>12</v>
      </c>
      <c r="F692" s="4">
        <v>45953</v>
      </c>
      <c r="G692" s="4">
        <v>45956</v>
      </c>
      <c r="H692" s="7">
        <f t="shared" si="30"/>
        <v>3</v>
      </c>
      <c r="I692" t="s">
        <v>23</v>
      </c>
      <c r="J692" t="s">
        <v>41</v>
      </c>
      <c r="K692" s="2">
        <v>6880.53</v>
      </c>
      <c r="L692" s="9">
        <v>0.9</v>
      </c>
      <c r="M692" s="15">
        <f t="shared" si="31"/>
        <v>6192.4769999999999</v>
      </c>
      <c r="N692" s="15">
        <f t="shared" si="32"/>
        <v>688.05299999999988</v>
      </c>
      <c r="O692" t="s">
        <v>20</v>
      </c>
    </row>
    <row r="693" spans="1:15" hidden="1" x14ac:dyDescent="0.35">
      <c r="A693" t="s">
        <v>1283</v>
      </c>
      <c r="B693" t="s">
        <v>150</v>
      </c>
      <c r="C693">
        <v>3</v>
      </c>
      <c r="D693" s="8" t="str" cm="1">
        <f t="array" ref="D693">_xlfn.IFS(C693&lt;=2, "Infant", C693&lt;=11, "Child", C693&lt;=17, "Adolescent", C693&lt;=44, "Young Adult", C693&lt;=64, "Middle Aged", C693&lt;=84,"Young Old", C693&gt;=85,"Oldest Old")</f>
        <v>Child</v>
      </c>
      <c r="E693" t="s">
        <v>18</v>
      </c>
      <c r="F693" s="4">
        <v>45782</v>
      </c>
      <c r="G693" s="4">
        <v>45787</v>
      </c>
      <c r="H693" s="7">
        <f t="shared" si="30"/>
        <v>5</v>
      </c>
      <c r="I693" t="s">
        <v>49</v>
      </c>
      <c r="J693" t="s">
        <v>50</v>
      </c>
      <c r="K693" s="2">
        <v>8731.85</v>
      </c>
      <c r="L693" s="9">
        <v>1</v>
      </c>
      <c r="M693" s="15">
        <f t="shared" si="31"/>
        <v>8731.85</v>
      </c>
      <c r="N693" s="15">
        <f t="shared" si="32"/>
        <v>0</v>
      </c>
      <c r="O693" t="s">
        <v>20</v>
      </c>
    </row>
    <row r="694" spans="1:15" hidden="1" x14ac:dyDescent="0.35">
      <c r="A694" t="s">
        <v>1284</v>
      </c>
      <c r="B694" t="s">
        <v>827</v>
      </c>
      <c r="C694">
        <v>71</v>
      </c>
      <c r="D694" s="8" t="str" cm="1">
        <f t="array" ref="D694">_xlfn.IFS(C694&lt;=2, "Infant", C694&lt;=11, "Child", C694&lt;=17, "Adolescent", C694&lt;=44, "Young Adult", C694&lt;=64, "Middle Aged", C694&lt;=84,"Young Old", C694&gt;=85,"Oldest Old")</f>
        <v>Young Old</v>
      </c>
      <c r="E694" t="s">
        <v>18</v>
      </c>
      <c r="F694" s="4">
        <v>45673</v>
      </c>
      <c r="G694" s="4">
        <v>45679</v>
      </c>
      <c r="H694" s="7">
        <f t="shared" si="30"/>
        <v>6</v>
      </c>
      <c r="I694" t="s">
        <v>70</v>
      </c>
      <c r="J694" t="s">
        <v>237</v>
      </c>
      <c r="K694" s="2">
        <v>10575.02</v>
      </c>
      <c r="L694" s="9">
        <v>0.7</v>
      </c>
      <c r="M694" s="15">
        <f t="shared" si="31"/>
        <v>7402.5140000000001</v>
      </c>
      <c r="N694" s="15">
        <f t="shared" si="32"/>
        <v>3172.5060000000003</v>
      </c>
      <c r="O694" t="s">
        <v>20</v>
      </c>
    </row>
    <row r="695" spans="1:15" hidden="1" x14ac:dyDescent="0.35">
      <c r="A695" t="s">
        <v>1285</v>
      </c>
      <c r="B695" t="s">
        <v>1286</v>
      </c>
      <c r="C695">
        <v>46</v>
      </c>
      <c r="D695" s="8" t="str" cm="1">
        <f t="array" ref="D695">_xlfn.IFS(C695&lt;=2, "Infant", C695&lt;=11, "Child", C695&lt;=17, "Adolescent", C695&lt;=44, "Young Adult", C695&lt;=64, "Middle Aged", C695&lt;=84,"Young Old", C695&gt;=85,"Oldest Old")</f>
        <v>Middle Aged</v>
      </c>
      <c r="E695" t="s">
        <v>18</v>
      </c>
      <c r="F695" s="4">
        <v>45645</v>
      </c>
      <c r="G695" s="4">
        <v>45648</v>
      </c>
      <c r="H695" s="7">
        <f t="shared" si="30"/>
        <v>3</v>
      </c>
      <c r="I695" t="s">
        <v>31</v>
      </c>
      <c r="J695" t="s">
        <v>87</v>
      </c>
      <c r="K695" s="2">
        <v>1975.02</v>
      </c>
      <c r="L695" s="9">
        <v>0.9</v>
      </c>
      <c r="M695" s="15">
        <f t="shared" si="31"/>
        <v>1777.518</v>
      </c>
      <c r="N695" s="15">
        <f t="shared" si="32"/>
        <v>197.50199999999995</v>
      </c>
      <c r="O695" t="s">
        <v>25</v>
      </c>
    </row>
    <row r="696" spans="1:15" hidden="1" x14ac:dyDescent="0.35">
      <c r="A696" t="s">
        <v>1287</v>
      </c>
      <c r="B696" t="s">
        <v>1288</v>
      </c>
      <c r="C696">
        <v>47</v>
      </c>
      <c r="D696" s="8" t="str" cm="1">
        <f t="array" ref="D696">_xlfn.IFS(C696&lt;=2, "Infant", C696&lt;=11, "Child", C696&lt;=17, "Adolescent", C696&lt;=44, "Young Adult", C696&lt;=64, "Middle Aged", C696&lt;=84,"Young Old", C696&gt;=85,"Oldest Old")</f>
        <v>Middle Aged</v>
      </c>
      <c r="E696" t="s">
        <v>12</v>
      </c>
      <c r="F696" s="4">
        <v>45398</v>
      </c>
      <c r="G696" s="4">
        <v>45406</v>
      </c>
      <c r="H696" s="7">
        <f t="shared" si="30"/>
        <v>8</v>
      </c>
      <c r="I696" t="s">
        <v>60</v>
      </c>
      <c r="J696" t="s">
        <v>142</v>
      </c>
      <c r="K696" s="2">
        <v>14406.87</v>
      </c>
      <c r="L696" s="9">
        <v>1</v>
      </c>
      <c r="M696" s="15">
        <f t="shared" si="31"/>
        <v>14406.87</v>
      </c>
      <c r="N696" s="15">
        <f t="shared" si="32"/>
        <v>0</v>
      </c>
      <c r="O696" t="s">
        <v>20</v>
      </c>
    </row>
    <row r="697" spans="1:15" hidden="1" x14ac:dyDescent="0.35">
      <c r="A697" t="s">
        <v>1289</v>
      </c>
      <c r="B697" t="s">
        <v>1196</v>
      </c>
      <c r="C697">
        <v>79</v>
      </c>
      <c r="D697" s="8" t="str" cm="1">
        <f t="array" ref="D697">_xlfn.IFS(C697&lt;=2, "Infant", C697&lt;=11, "Child", C697&lt;=17, "Adolescent", C697&lt;=44, "Young Adult", C697&lt;=64, "Middle Aged", C697&lt;=84,"Young Old", C697&gt;=85,"Oldest Old")</f>
        <v>Young Old</v>
      </c>
      <c r="E697" t="s">
        <v>18</v>
      </c>
      <c r="F697" s="4">
        <v>45912</v>
      </c>
      <c r="G697" s="4">
        <v>45917</v>
      </c>
      <c r="H697" s="7">
        <f t="shared" si="30"/>
        <v>5</v>
      </c>
      <c r="I697" t="s">
        <v>13</v>
      </c>
      <c r="J697" t="s">
        <v>165</v>
      </c>
      <c r="K697" s="2">
        <v>10285.16</v>
      </c>
      <c r="L697" s="9">
        <v>0.8</v>
      </c>
      <c r="M697" s="15">
        <f t="shared" si="31"/>
        <v>8228.1280000000006</v>
      </c>
      <c r="N697" s="15">
        <f t="shared" si="32"/>
        <v>2057.0319999999992</v>
      </c>
      <c r="O697" t="s">
        <v>25</v>
      </c>
    </row>
    <row r="698" spans="1:15" hidden="1" x14ac:dyDescent="0.35">
      <c r="A698" t="s">
        <v>1290</v>
      </c>
      <c r="B698" t="s">
        <v>1291</v>
      </c>
      <c r="C698">
        <v>14</v>
      </c>
      <c r="D698" s="8" t="str" cm="1">
        <f t="array" ref="D698">_xlfn.IFS(C698&lt;=2, "Infant", C698&lt;=11, "Child", C698&lt;=17, "Adolescent", C698&lt;=44, "Young Adult", C698&lt;=64, "Middle Aged", C698&lt;=84,"Young Old", C698&gt;=85,"Oldest Old")</f>
        <v>Adolescent</v>
      </c>
      <c r="E698" t="s">
        <v>12</v>
      </c>
      <c r="F698" s="4">
        <v>45388</v>
      </c>
      <c r="G698" s="4">
        <v>45389</v>
      </c>
      <c r="H698" s="7">
        <f t="shared" si="30"/>
        <v>1</v>
      </c>
      <c r="I698" t="s">
        <v>49</v>
      </c>
      <c r="J698" t="s">
        <v>50</v>
      </c>
      <c r="K698" s="2">
        <v>730.74</v>
      </c>
      <c r="L698" s="9">
        <v>0</v>
      </c>
      <c r="M698" s="15">
        <f t="shared" si="31"/>
        <v>0</v>
      </c>
      <c r="N698" s="15">
        <f t="shared" si="32"/>
        <v>730.74</v>
      </c>
      <c r="O698" t="s">
        <v>25</v>
      </c>
    </row>
    <row r="699" spans="1:15" hidden="1" x14ac:dyDescent="0.35">
      <c r="A699" t="s">
        <v>1292</v>
      </c>
      <c r="B699" t="s">
        <v>1293</v>
      </c>
      <c r="C699">
        <v>30</v>
      </c>
      <c r="D699" s="8" t="str" cm="1">
        <f t="array" ref="D699">_xlfn.IFS(C699&lt;=2, "Infant", C699&lt;=11, "Child", C699&lt;=17, "Adolescent", C699&lt;=44, "Young Adult", C699&lt;=64, "Middle Aged", C699&lt;=84,"Young Old", C699&gt;=85,"Oldest Old")</f>
        <v>Young Adult</v>
      </c>
      <c r="E699" t="s">
        <v>12</v>
      </c>
      <c r="F699" s="4">
        <v>45937</v>
      </c>
      <c r="G699" s="4">
        <v>45943</v>
      </c>
      <c r="H699" s="7">
        <f t="shared" si="30"/>
        <v>6</v>
      </c>
      <c r="I699" t="s">
        <v>60</v>
      </c>
      <c r="J699" t="s">
        <v>142</v>
      </c>
      <c r="K699" s="2">
        <v>12841.02</v>
      </c>
      <c r="L699" s="9">
        <v>0.7</v>
      </c>
      <c r="M699" s="15">
        <f t="shared" si="31"/>
        <v>8988.7139999999999</v>
      </c>
      <c r="N699" s="15">
        <f t="shared" si="32"/>
        <v>3852.3060000000005</v>
      </c>
      <c r="O699" t="s">
        <v>15</v>
      </c>
    </row>
    <row r="700" spans="1:15" hidden="1" x14ac:dyDescent="0.35">
      <c r="A700" t="s">
        <v>1294</v>
      </c>
      <c r="B700" t="s">
        <v>1295</v>
      </c>
      <c r="C700">
        <v>71</v>
      </c>
      <c r="D700" s="8" t="str" cm="1">
        <f t="array" ref="D700">_xlfn.IFS(C700&lt;=2, "Infant", C700&lt;=11, "Child", C700&lt;=17, "Adolescent", C700&lt;=44, "Young Adult", C700&lt;=64, "Middle Aged", C700&lt;=84,"Young Old", C700&gt;=85,"Oldest Old")</f>
        <v>Young Old</v>
      </c>
      <c r="E700" t="s">
        <v>12</v>
      </c>
      <c r="F700" s="4">
        <v>45365</v>
      </c>
      <c r="G700" s="4">
        <v>45368</v>
      </c>
      <c r="H700" s="7">
        <f t="shared" si="30"/>
        <v>3</v>
      </c>
      <c r="I700" t="s">
        <v>70</v>
      </c>
      <c r="J700" t="s">
        <v>295</v>
      </c>
      <c r="K700" s="2">
        <v>3969.91</v>
      </c>
      <c r="L700" s="9">
        <v>0.9</v>
      </c>
      <c r="M700" s="15">
        <f t="shared" si="31"/>
        <v>3572.9189999999999</v>
      </c>
      <c r="N700" s="15">
        <f t="shared" si="32"/>
        <v>396.99099999999999</v>
      </c>
      <c r="O700" t="s">
        <v>15</v>
      </c>
    </row>
    <row r="701" spans="1:15" x14ac:dyDescent="0.35">
      <c r="A701" t="s">
        <v>1296</v>
      </c>
      <c r="B701" t="s">
        <v>1297</v>
      </c>
      <c r="C701">
        <v>47</v>
      </c>
      <c r="D701" s="8" t="str" cm="1">
        <f t="array" ref="D701">_xlfn.IFS(C701&lt;=2, "Infant", C701&lt;=11, "Child", C701&lt;=17, "Adolescent", C701&lt;=44, "Young Adult", C701&lt;=64, "Middle Aged", C701&lt;=84,"Young Old", C701&gt;=85,"Oldest Old")</f>
        <v>Middle Aged</v>
      </c>
      <c r="E701" t="s">
        <v>12</v>
      </c>
      <c r="F701" s="4">
        <v>45910</v>
      </c>
      <c r="G701" s="4">
        <v>45913</v>
      </c>
      <c r="H701" s="7">
        <f t="shared" si="30"/>
        <v>3</v>
      </c>
      <c r="I701" t="s">
        <v>31</v>
      </c>
      <c r="J701" t="s">
        <v>32</v>
      </c>
      <c r="K701" s="2">
        <v>3558.48</v>
      </c>
      <c r="L701" s="9">
        <v>0.9</v>
      </c>
      <c r="M701" s="15">
        <f t="shared" si="31"/>
        <v>3202.6320000000001</v>
      </c>
      <c r="N701" s="15">
        <f t="shared" si="32"/>
        <v>355.84799999999996</v>
      </c>
      <c r="O701" t="s">
        <v>20</v>
      </c>
    </row>
    <row r="702" spans="1:15" hidden="1" x14ac:dyDescent="0.35">
      <c r="A702" t="s">
        <v>1298</v>
      </c>
      <c r="B702" t="s">
        <v>1299</v>
      </c>
      <c r="C702">
        <v>35</v>
      </c>
      <c r="D702" s="8" t="str" cm="1">
        <f t="array" ref="D702">_xlfn.IFS(C702&lt;=2, "Infant", C702&lt;=11, "Child", C702&lt;=17, "Adolescent", C702&lt;=44, "Young Adult", C702&lt;=64, "Middle Aged", C702&lt;=84,"Young Old", C702&gt;=85,"Oldest Old")</f>
        <v>Young Adult</v>
      </c>
      <c r="E702" t="s">
        <v>12</v>
      </c>
      <c r="F702" s="4">
        <v>45647</v>
      </c>
      <c r="G702" s="4">
        <v>45649</v>
      </c>
      <c r="H702" s="7">
        <f t="shared" si="30"/>
        <v>2</v>
      </c>
      <c r="I702" t="s">
        <v>23</v>
      </c>
      <c r="J702" t="s">
        <v>28</v>
      </c>
      <c r="K702" s="2">
        <v>2492.36</v>
      </c>
      <c r="L702" s="9">
        <v>0.9</v>
      </c>
      <c r="M702" s="15">
        <f t="shared" si="31"/>
        <v>2243.1240000000003</v>
      </c>
      <c r="N702" s="15">
        <f t="shared" si="32"/>
        <v>249.23599999999988</v>
      </c>
      <c r="O702" t="s">
        <v>25</v>
      </c>
    </row>
    <row r="703" spans="1:15" hidden="1" x14ac:dyDescent="0.35">
      <c r="A703" t="s">
        <v>1300</v>
      </c>
      <c r="B703" t="s">
        <v>1301</v>
      </c>
      <c r="C703">
        <v>64</v>
      </c>
      <c r="D703" s="8" t="str" cm="1">
        <f t="array" ref="D703">_xlfn.IFS(C703&lt;=2, "Infant", C703&lt;=11, "Child", C703&lt;=17, "Adolescent", C703&lt;=44, "Young Adult", C703&lt;=64, "Middle Aged", C703&lt;=84,"Young Old", C703&gt;=85,"Oldest Old")</f>
        <v>Middle Aged</v>
      </c>
      <c r="E703" t="s">
        <v>12</v>
      </c>
      <c r="F703" s="4">
        <v>45752</v>
      </c>
      <c r="G703" s="4">
        <v>45755</v>
      </c>
      <c r="H703" s="7">
        <f t="shared" si="30"/>
        <v>3</v>
      </c>
      <c r="I703" t="s">
        <v>31</v>
      </c>
      <c r="J703" t="s">
        <v>234</v>
      </c>
      <c r="K703" s="2">
        <v>2931.95</v>
      </c>
      <c r="L703" s="9">
        <v>1</v>
      </c>
      <c r="M703" s="15">
        <f t="shared" si="31"/>
        <v>2931.95</v>
      </c>
      <c r="N703" s="15">
        <f t="shared" si="32"/>
        <v>0</v>
      </c>
      <c r="O703" t="s">
        <v>15</v>
      </c>
    </row>
    <row r="704" spans="1:15" hidden="1" x14ac:dyDescent="0.35">
      <c r="A704" t="s">
        <v>1302</v>
      </c>
      <c r="B704" t="s">
        <v>1303</v>
      </c>
      <c r="C704">
        <v>39</v>
      </c>
      <c r="D704" s="8" t="str" cm="1">
        <f t="array" ref="D704">_xlfn.IFS(C704&lt;=2, "Infant", C704&lt;=11, "Child", C704&lt;=17, "Adolescent", C704&lt;=44, "Young Adult", C704&lt;=64, "Middle Aged", C704&lt;=84,"Young Old", C704&gt;=85,"Oldest Old")</f>
        <v>Young Adult</v>
      </c>
      <c r="E704" t="s">
        <v>18</v>
      </c>
      <c r="F704" s="4">
        <v>45634</v>
      </c>
      <c r="G704" s="4">
        <v>45636</v>
      </c>
      <c r="H704" s="7">
        <f t="shared" si="30"/>
        <v>2</v>
      </c>
      <c r="I704" t="s">
        <v>23</v>
      </c>
      <c r="J704" t="s">
        <v>204</v>
      </c>
      <c r="K704" s="2">
        <v>3264.79</v>
      </c>
      <c r="L704" s="9">
        <v>0.7</v>
      </c>
      <c r="M704" s="15">
        <f t="shared" si="31"/>
        <v>2285.3529999999996</v>
      </c>
      <c r="N704" s="15">
        <f t="shared" si="32"/>
        <v>979.43700000000035</v>
      </c>
      <c r="O704" t="s">
        <v>15</v>
      </c>
    </row>
    <row r="705" spans="1:15" hidden="1" x14ac:dyDescent="0.35">
      <c r="A705" t="s">
        <v>1304</v>
      </c>
      <c r="B705" t="s">
        <v>1305</v>
      </c>
      <c r="C705">
        <v>65</v>
      </c>
      <c r="D705" s="8" t="str" cm="1">
        <f t="array" ref="D705">_xlfn.IFS(C705&lt;=2, "Infant", C705&lt;=11, "Child", C705&lt;=17, "Adolescent", C705&lt;=44, "Young Adult", C705&lt;=64, "Middle Aged", C705&lt;=84,"Young Old", C705&gt;=85,"Oldest Old")</f>
        <v>Young Old</v>
      </c>
      <c r="E705" t="s">
        <v>12</v>
      </c>
      <c r="F705" s="4">
        <v>46019</v>
      </c>
      <c r="G705" s="4">
        <v>46023</v>
      </c>
      <c r="H705" s="7">
        <f t="shared" si="30"/>
        <v>4</v>
      </c>
      <c r="I705" t="s">
        <v>31</v>
      </c>
      <c r="J705" t="s">
        <v>87</v>
      </c>
      <c r="K705" s="2">
        <v>5976.06</v>
      </c>
      <c r="L705" s="9">
        <v>0.7</v>
      </c>
      <c r="M705" s="15">
        <f t="shared" si="31"/>
        <v>4183.2420000000002</v>
      </c>
      <c r="N705" s="15">
        <f t="shared" si="32"/>
        <v>1792.8180000000002</v>
      </c>
      <c r="O705" t="s">
        <v>20</v>
      </c>
    </row>
    <row r="706" spans="1:15" x14ac:dyDescent="0.35">
      <c r="A706" t="s">
        <v>1306</v>
      </c>
      <c r="B706" t="s">
        <v>843</v>
      </c>
      <c r="C706">
        <v>85</v>
      </c>
      <c r="D706" s="8" t="str" cm="1">
        <f t="array" ref="D706">_xlfn.IFS(C706&lt;=2, "Infant", C706&lt;=11, "Child", C706&lt;=17, "Adolescent", C706&lt;=44, "Young Adult", C706&lt;=64, "Middle Aged", C706&lt;=84,"Young Old", C706&gt;=85,"Oldest Old")</f>
        <v>Oldest Old</v>
      </c>
      <c r="E706" t="s">
        <v>18</v>
      </c>
      <c r="F706" s="4">
        <v>45742</v>
      </c>
      <c r="G706" s="4">
        <v>45743</v>
      </c>
      <c r="H706" s="7">
        <f t="shared" si="30"/>
        <v>1</v>
      </c>
      <c r="I706" t="s">
        <v>31</v>
      </c>
      <c r="J706" t="s">
        <v>32</v>
      </c>
      <c r="K706" s="2">
        <v>1133.0999999999999</v>
      </c>
      <c r="L706" s="9">
        <v>0.7</v>
      </c>
      <c r="M706" s="15">
        <f t="shared" si="31"/>
        <v>793.16999999999985</v>
      </c>
      <c r="N706" s="15">
        <f t="shared" si="32"/>
        <v>339.93000000000006</v>
      </c>
      <c r="O706" t="s">
        <v>20</v>
      </c>
    </row>
    <row r="707" spans="1:15" hidden="1" x14ac:dyDescent="0.35">
      <c r="A707" t="s">
        <v>1307</v>
      </c>
      <c r="B707" t="s">
        <v>1101</v>
      </c>
      <c r="C707">
        <v>85</v>
      </c>
      <c r="D707" s="8" t="str" cm="1">
        <f t="array" ref="D707">_xlfn.IFS(C707&lt;=2, "Infant", C707&lt;=11, "Child", C707&lt;=17, "Adolescent", C707&lt;=44, "Young Adult", C707&lt;=64, "Middle Aged", C707&lt;=84,"Young Old", C707&gt;=85,"Oldest Old")</f>
        <v>Oldest Old</v>
      </c>
      <c r="E707" t="s">
        <v>12</v>
      </c>
      <c r="F707" s="4">
        <v>45897</v>
      </c>
      <c r="G707" s="4">
        <v>45899</v>
      </c>
      <c r="H707" s="7">
        <f t="shared" ref="H707:H770" si="33">DATEDIF(F707,G707,"D")</f>
        <v>2</v>
      </c>
      <c r="I707" t="s">
        <v>23</v>
      </c>
      <c r="J707" t="s">
        <v>204</v>
      </c>
      <c r="K707" s="2">
        <v>4676.38</v>
      </c>
      <c r="L707" s="9">
        <v>0.9</v>
      </c>
      <c r="M707" s="15">
        <f t="shared" ref="M707:M770" si="34">L707*K707</f>
        <v>4208.7420000000002</v>
      </c>
      <c r="N707" s="15">
        <f t="shared" ref="N707:N770" si="35">K707-M707</f>
        <v>467.63799999999992</v>
      </c>
      <c r="O707" t="s">
        <v>15</v>
      </c>
    </row>
    <row r="708" spans="1:15" hidden="1" x14ac:dyDescent="0.35">
      <c r="A708" t="s">
        <v>1308</v>
      </c>
      <c r="B708" t="s">
        <v>1034</v>
      </c>
      <c r="C708">
        <v>72</v>
      </c>
      <c r="D708" s="8" t="str" cm="1">
        <f t="array" ref="D708">_xlfn.IFS(C708&lt;=2, "Infant", C708&lt;=11, "Child", C708&lt;=17, "Adolescent", C708&lt;=44, "Young Adult", C708&lt;=64, "Middle Aged", C708&lt;=84,"Young Old", C708&gt;=85,"Oldest Old")</f>
        <v>Young Old</v>
      </c>
      <c r="E708" t="s">
        <v>12</v>
      </c>
      <c r="F708" s="4">
        <v>45664</v>
      </c>
      <c r="G708" s="4">
        <v>45666</v>
      </c>
      <c r="H708" s="7">
        <f t="shared" si="33"/>
        <v>2</v>
      </c>
      <c r="I708" t="s">
        <v>23</v>
      </c>
      <c r="J708" t="s">
        <v>204</v>
      </c>
      <c r="K708" s="2">
        <v>2041.86</v>
      </c>
      <c r="L708" s="9">
        <v>0.9</v>
      </c>
      <c r="M708" s="15">
        <f t="shared" si="34"/>
        <v>1837.674</v>
      </c>
      <c r="N708" s="15">
        <f t="shared" si="35"/>
        <v>204.18599999999992</v>
      </c>
      <c r="O708" t="s">
        <v>15</v>
      </c>
    </row>
    <row r="709" spans="1:15" hidden="1" x14ac:dyDescent="0.35">
      <c r="A709" t="s">
        <v>1309</v>
      </c>
      <c r="B709" t="s">
        <v>973</v>
      </c>
      <c r="C709">
        <v>40</v>
      </c>
      <c r="D709" s="8" t="str" cm="1">
        <f t="array" ref="D709">_xlfn.IFS(C709&lt;=2, "Infant", C709&lt;=11, "Child", C709&lt;=17, "Adolescent", C709&lt;=44, "Young Adult", C709&lt;=64, "Middle Aged", C709&lt;=84,"Young Old", C709&gt;=85,"Oldest Old")</f>
        <v>Young Adult</v>
      </c>
      <c r="E709" t="s">
        <v>18</v>
      </c>
      <c r="F709" s="4">
        <v>45495</v>
      </c>
      <c r="G709" s="4">
        <v>45501</v>
      </c>
      <c r="H709" s="7">
        <f t="shared" si="33"/>
        <v>6</v>
      </c>
      <c r="I709" t="s">
        <v>13</v>
      </c>
      <c r="J709" t="s">
        <v>165</v>
      </c>
      <c r="K709" s="2">
        <v>11703.16</v>
      </c>
      <c r="L709" s="9">
        <v>0.9</v>
      </c>
      <c r="M709" s="15">
        <f t="shared" si="34"/>
        <v>10532.844000000001</v>
      </c>
      <c r="N709" s="15">
        <f t="shared" si="35"/>
        <v>1170.3159999999989</v>
      </c>
      <c r="O709" t="s">
        <v>15</v>
      </c>
    </row>
    <row r="710" spans="1:15" hidden="1" x14ac:dyDescent="0.35">
      <c r="A710" t="s">
        <v>1310</v>
      </c>
      <c r="B710" t="s">
        <v>27</v>
      </c>
      <c r="C710">
        <v>6</v>
      </c>
      <c r="D710" s="8" t="str" cm="1">
        <f t="array" ref="D710">_xlfn.IFS(C710&lt;=2, "Infant", C710&lt;=11, "Child", C710&lt;=17, "Adolescent", C710&lt;=44, "Young Adult", C710&lt;=64, "Middle Aged", C710&lt;=84,"Young Old", C710&gt;=85,"Oldest Old")</f>
        <v>Child</v>
      </c>
      <c r="E710" t="s">
        <v>18</v>
      </c>
      <c r="F710" s="4">
        <v>45942</v>
      </c>
      <c r="G710" s="4">
        <v>45943</v>
      </c>
      <c r="H710" s="7">
        <f t="shared" si="33"/>
        <v>1</v>
      </c>
      <c r="I710" t="s">
        <v>49</v>
      </c>
      <c r="J710" t="s">
        <v>130</v>
      </c>
      <c r="K710" s="2">
        <v>1336.01</v>
      </c>
      <c r="L710" s="9">
        <v>0.8</v>
      </c>
      <c r="M710" s="15">
        <f t="shared" si="34"/>
        <v>1068.808</v>
      </c>
      <c r="N710" s="15">
        <f t="shared" si="35"/>
        <v>267.202</v>
      </c>
      <c r="O710" t="s">
        <v>20</v>
      </c>
    </row>
    <row r="711" spans="1:15" hidden="1" x14ac:dyDescent="0.35">
      <c r="A711" t="s">
        <v>1311</v>
      </c>
      <c r="B711" t="s">
        <v>1312</v>
      </c>
      <c r="C711">
        <v>81</v>
      </c>
      <c r="D711" s="8" t="str" cm="1">
        <f t="array" ref="D711">_xlfn.IFS(C711&lt;=2, "Infant", C711&lt;=11, "Child", C711&lt;=17, "Adolescent", C711&lt;=44, "Young Adult", C711&lt;=64, "Middle Aged", C711&lt;=84,"Young Old", C711&gt;=85,"Oldest Old")</f>
        <v>Young Old</v>
      </c>
      <c r="E711" t="s">
        <v>12</v>
      </c>
      <c r="F711" s="4">
        <v>45777</v>
      </c>
      <c r="G711" s="4">
        <v>45785</v>
      </c>
      <c r="H711" s="7">
        <f t="shared" si="33"/>
        <v>8</v>
      </c>
      <c r="I711" t="s">
        <v>13</v>
      </c>
      <c r="J711" t="s">
        <v>14</v>
      </c>
      <c r="K711" s="2">
        <v>21413.919999999998</v>
      </c>
      <c r="L711" s="9">
        <v>0.8</v>
      </c>
      <c r="M711" s="15">
        <f t="shared" si="34"/>
        <v>17131.135999999999</v>
      </c>
      <c r="N711" s="15">
        <f t="shared" si="35"/>
        <v>4282.7839999999997</v>
      </c>
      <c r="O711" t="s">
        <v>15</v>
      </c>
    </row>
    <row r="712" spans="1:15" hidden="1" x14ac:dyDescent="0.35">
      <c r="A712" t="s">
        <v>1313</v>
      </c>
      <c r="B712" t="s">
        <v>1210</v>
      </c>
      <c r="C712">
        <v>56</v>
      </c>
      <c r="D712" s="8" t="str" cm="1">
        <f t="array" ref="D712">_xlfn.IFS(C712&lt;=2, "Infant", C712&lt;=11, "Child", C712&lt;=17, "Adolescent", C712&lt;=44, "Young Adult", C712&lt;=64, "Middle Aged", C712&lt;=84,"Young Old", C712&gt;=85,"Oldest Old")</f>
        <v>Middle Aged</v>
      </c>
      <c r="E712" t="s">
        <v>18</v>
      </c>
      <c r="F712" s="4">
        <v>45654</v>
      </c>
      <c r="G712" s="4">
        <v>45656</v>
      </c>
      <c r="H712" s="7">
        <f t="shared" si="33"/>
        <v>2</v>
      </c>
      <c r="I712" t="s">
        <v>23</v>
      </c>
      <c r="J712" t="s">
        <v>221</v>
      </c>
      <c r="K712" s="2">
        <v>4020.17</v>
      </c>
      <c r="L712" s="9">
        <v>0.8</v>
      </c>
      <c r="M712" s="15">
        <f t="shared" si="34"/>
        <v>3216.1360000000004</v>
      </c>
      <c r="N712" s="15">
        <f t="shared" si="35"/>
        <v>804.03399999999965</v>
      </c>
      <c r="O712" t="s">
        <v>25</v>
      </c>
    </row>
    <row r="713" spans="1:15" hidden="1" x14ac:dyDescent="0.35">
      <c r="A713" t="s">
        <v>1314</v>
      </c>
      <c r="B713" t="s">
        <v>1315</v>
      </c>
      <c r="C713">
        <v>66</v>
      </c>
      <c r="D713" s="8" t="str" cm="1">
        <f t="array" ref="D713">_xlfn.IFS(C713&lt;=2, "Infant", C713&lt;=11, "Child", C713&lt;=17, "Adolescent", C713&lt;=44, "Young Adult", C713&lt;=64, "Middle Aged", C713&lt;=84,"Young Old", C713&gt;=85,"Oldest Old")</f>
        <v>Young Old</v>
      </c>
      <c r="E713" t="s">
        <v>18</v>
      </c>
      <c r="F713" s="4">
        <v>45465</v>
      </c>
      <c r="G713" s="4">
        <v>45477</v>
      </c>
      <c r="H713" s="7">
        <f t="shared" si="33"/>
        <v>12</v>
      </c>
      <c r="I713" t="s">
        <v>60</v>
      </c>
      <c r="J713" t="s">
        <v>77</v>
      </c>
      <c r="K713" s="2">
        <v>28053.05</v>
      </c>
      <c r="L713" s="9">
        <v>0.8</v>
      </c>
      <c r="M713" s="15">
        <f t="shared" si="34"/>
        <v>22442.440000000002</v>
      </c>
      <c r="N713" s="15">
        <f t="shared" si="35"/>
        <v>5610.6099999999969</v>
      </c>
      <c r="O713" t="s">
        <v>15</v>
      </c>
    </row>
    <row r="714" spans="1:15" hidden="1" x14ac:dyDescent="0.35">
      <c r="A714" t="s">
        <v>1316</v>
      </c>
      <c r="B714" t="s">
        <v>594</v>
      </c>
      <c r="C714">
        <v>34</v>
      </c>
      <c r="D714" s="8" t="str" cm="1">
        <f t="array" ref="D714">_xlfn.IFS(C714&lt;=2, "Infant", C714&lt;=11, "Child", C714&lt;=17, "Adolescent", C714&lt;=44, "Young Adult", C714&lt;=64, "Middle Aged", C714&lt;=84,"Young Old", C714&gt;=85,"Oldest Old")</f>
        <v>Young Adult</v>
      </c>
      <c r="E714" t="s">
        <v>18</v>
      </c>
      <c r="F714" s="4">
        <v>45558</v>
      </c>
      <c r="G714" s="4">
        <v>45569</v>
      </c>
      <c r="H714" s="7">
        <f t="shared" si="33"/>
        <v>11</v>
      </c>
      <c r="I714" t="s">
        <v>70</v>
      </c>
      <c r="J714" t="s">
        <v>295</v>
      </c>
      <c r="K714" s="2">
        <v>23948.97</v>
      </c>
      <c r="L714" s="9">
        <v>1</v>
      </c>
      <c r="M714" s="15">
        <f t="shared" si="34"/>
        <v>23948.97</v>
      </c>
      <c r="N714" s="15">
        <f t="shared" si="35"/>
        <v>0</v>
      </c>
      <c r="O714" t="s">
        <v>15</v>
      </c>
    </row>
    <row r="715" spans="1:15" hidden="1" x14ac:dyDescent="0.35">
      <c r="A715" t="s">
        <v>1317</v>
      </c>
      <c r="B715" t="s">
        <v>1318</v>
      </c>
      <c r="C715">
        <v>84</v>
      </c>
      <c r="D715" s="8" t="str" cm="1">
        <f t="array" ref="D715">_xlfn.IFS(C715&lt;=2, "Infant", C715&lt;=11, "Child", C715&lt;=17, "Adolescent", C715&lt;=44, "Young Adult", C715&lt;=64, "Middle Aged", C715&lt;=84,"Young Old", C715&gt;=85,"Oldest Old")</f>
        <v>Young Old</v>
      </c>
      <c r="E715" t="s">
        <v>12</v>
      </c>
      <c r="F715" s="4">
        <v>45741</v>
      </c>
      <c r="G715" s="4">
        <v>45750</v>
      </c>
      <c r="H715" s="7">
        <f t="shared" si="33"/>
        <v>9</v>
      </c>
      <c r="I715" t="s">
        <v>13</v>
      </c>
      <c r="J715" t="s">
        <v>102</v>
      </c>
      <c r="K715" s="2">
        <v>23623.51</v>
      </c>
      <c r="L715" s="9">
        <v>0.9</v>
      </c>
      <c r="M715" s="15">
        <f t="shared" si="34"/>
        <v>21261.159</v>
      </c>
      <c r="N715" s="15">
        <f t="shared" si="35"/>
        <v>2362.3509999999987</v>
      </c>
      <c r="O715" t="s">
        <v>20</v>
      </c>
    </row>
    <row r="716" spans="1:15" hidden="1" x14ac:dyDescent="0.35">
      <c r="A716" t="s">
        <v>1319</v>
      </c>
      <c r="B716" t="s">
        <v>1320</v>
      </c>
      <c r="C716">
        <v>34</v>
      </c>
      <c r="D716" s="8" t="str" cm="1">
        <f t="array" ref="D716">_xlfn.IFS(C716&lt;=2, "Infant", C716&lt;=11, "Child", C716&lt;=17, "Adolescent", C716&lt;=44, "Young Adult", C716&lt;=64, "Middle Aged", C716&lt;=84,"Young Old", C716&gt;=85,"Oldest Old")</f>
        <v>Young Adult</v>
      </c>
      <c r="E716" t="s">
        <v>12</v>
      </c>
      <c r="F716" s="4">
        <v>45894</v>
      </c>
      <c r="G716" s="4">
        <v>45900</v>
      </c>
      <c r="H716" s="7">
        <f t="shared" si="33"/>
        <v>6</v>
      </c>
      <c r="I716" t="s">
        <v>70</v>
      </c>
      <c r="J716" t="s">
        <v>237</v>
      </c>
      <c r="K716" s="2">
        <v>10445.299999999999</v>
      </c>
      <c r="L716" s="9">
        <v>0.6</v>
      </c>
      <c r="M716" s="15">
        <f t="shared" si="34"/>
        <v>6267.1799999999994</v>
      </c>
      <c r="N716" s="15">
        <f t="shared" si="35"/>
        <v>4178.12</v>
      </c>
      <c r="O716" t="s">
        <v>25</v>
      </c>
    </row>
    <row r="717" spans="1:15" hidden="1" x14ac:dyDescent="0.35">
      <c r="A717" t="s">
        <v>1321</v>
      </c>
      <c r="B717" t="s">
        <v>1322</v>
      </c>
      <c r="C717">
        <v>51</v>
      </c>
      <c r="D717" s="8" t="str" cm="1">
        <f t="array" ref="D717">_xlfn.IFS(C717&lt;=2, "Infant", C717&lt;=11, "Child", C717&lt;=17, "Adolescent", C717&lt;=44, "Young Adult", C717&lt;=64, "Middle Aged", C717&lt;=84,"Young Old", C717&gt;=85,"Oldest Old")</f>
        <v>Middle Aged</v>
      </c>
      <c r="E717" t="s">
        <v>12</v>
      </c>
      <c r="F717" s="4">
        <v>45891</v>
      </c>
      <c r="G717" s="4">
        <v>45898</v>
      </c>
      <c r="H717" s="7">
        <f t="shared" si="33"/>
        <v>7</v>
      </c>
      <c r="I717" t="s">
        <v>60</v>
      </c>
      <c r="J717" t="s">
        <v>74</v>
      </c>
      <c r="K717" s="2">
        <v>19007.18</v>
      </c>
      <c r="L717" s="9">
        <v>0.7</v>
      </c>
      <c r="M717" s="15">
        <f t="shared" si="34"/>
        <v>13305.026</v>
      </c>
      <c r="N717" s="15">
        <f t="shared" si="35"/>
        <v>5702.1540000000005</v>
      </c>
      <c r="O717" t="s">
        <v>15</v>
      </c>
    </row>
    <row r="718" spans="1:15" hidden="1" x14ac:dyDescent="0.35">
      <c r="A718" t="s">
        <v>1323</v>
      </c>
      <c r="B718" t="s">
        <v>358</v>
      </c>
      <c r="C718">
        <v>43</v>
      </c>
      <c r="D718" s="8" t="str" cm="1">
        <f t="array" ref="D718">_xlfn.IFS(C718&lt;=2, "Infant", C718&lt;=11, "Child", C718&lt;=17, "Adolescent", C718&lt;=44, "Young Adult", C718&lt;=64, "Middle Aged", C718&lt;=84,"Young Old", C718&gt;=85,"Oldest Old")</f>
        <v>Young Adult</v>
      </c>
      <c r="E718" t="s">
        <v>12</v>
      </c>
      <c r="F718" s="4">
        <v>45790</v>
      </c>
      <c r="G718" s="4">
        <v>45793</v>
      </c>
      <c r="H718" s="7">
        <f t="shared" si="33"/>
        <v>3</v>
      </c>
      <c r="I718" t="s">
        <v>23</v>
      </c>
      <c r="J718" t="s">
        <v>24</v>
      </c>
      <c r="K718" s="2">
        <v>2458.7600000000002</v>
      </c>
      <c r="L718" s="9">
        <v>0.9</v>
      </c>
      <c r="M718" s="15">
        <f t="shared" si="34"/>
        <v>2212.8840000000005</v>
      </c>
      <c r="N718" s="15">
        <f t="shared" si="35"/>
        <v>245.87599999999975</v>
      </c>
      <c r="O718" t="s">
        <v>15</v>
      </c>
    </row>
    <row r="719" spans="1:15" hidden="1" x14ac:dyDescent="0.35">
      <c r="A719" t="s">
        <v>1324</v>
      </c>
      <c r="B719" t="s">
        <v>1325</v>
      </c>
      <c r="C719">
        <v>32</v>
      </c>
      <c r="D719" s="8" t="str" cm="1">
        <f t="array" ref="D719">_xlfn.IFS(C719&lt;=2, "Infant", C719&lt;=11, "Child", C719&lt;=17, "Adolescent", C719&lt;=44, "Young Adult", C719&lt;=64, "Middle Aged", C719&lt;=84,"Young Old", C719&gt;=85,"Oldest Old")</f>
        <v>Young Adult</v>
      </c>
      <c r="E719" t="s">
        <v>12</v>
      </c>
      <c r="F719" s="4">
        <v>45678</v>
      </c>
      <c r="G719" s="4">
        <v>45686</v>
      </c>
      <c r="H719" s="7">
        <f t="shared" si="33"/>
        <v>8</v>
      </c>
      <c r="I719" t="s">
        <v>60</v>
      </c>
      <c r="J719" t="s">
        <v>142</v>
      </c>
      <c r="K719" s="2">
        <v>14632.49</v>
      </c>
      <c r="L719" s="9">
        <v>0.6</v>
      </c>
      <c r="M719" s="15">
        <f t="shared" si="34"/>
        <v>8779.4939999999988</v>
      </c>
      <c r="N719" s="15">
        <f t="shared" si="35"/>
        <v>5852.996000000001</v>
      </c>
      <c r="O719" t="s">
        <v>25</v>
      </c>
    </row>
    <row r="720" spans="1:15" hidden="1" x14ac:dyDescent="0.35">
      <c r="A720" t="s">
        <v>1326</v>
      </c>
      <c r="B720" t="s">
        <v>919</v>
      </c>
      <c r="C720">
        <v>34</v>
      </c>
      <c r="D720" s="8" t="str" cm="1">
        <f t="array" ref="D720">_xlfn.IFS(C720&lt;=2, "Infant", C720&lt;=11, "Child", C720&lt;=17, "Adolescent", C720&lt;=44, "Young Adult", C720&lt;=64, "Middle Aged", C720&lt;=84,"Young Old", C720&gt;=85,"Oldest Old")</f>
        <v>Young Adult</v>
      </c>
      <c r="E720" t="s">
        <v>18</v>
      </c>
      <c r="F720" s="4">
        <v>45740</v>
      </c>
      <c r="G720" s="4">
        <v>45745</v>
      </c>
      <c r="H720" s="7">
        <f t="shared" si="33"/>
        <v>5</v>
      </c>
      <c r="I720" t="s">
        <v>31</v>
      </c>
      <c r="J720" t="s">
        <v>53</v>
      </c>
      <c r="K720" s="2">
        <v>2891.81</v>
      </c>
      <c r="L720" s="9">
        <v>0.8</v>
      </c>
      <c r="M720" s="15">
        <f t="shared" si="34"/>
        <v>2313.4479999999999</v>
      </c>
      <c r="N720" s="15">
        <f t="shared" si="35"/>
        <v>578.36200000000008</v>
      </c>
      <c r="O720" t="s">
        <v>15</v>
      </c>
    </row>
    <row r="721" spans="1:15" hidden="1" x14ac:dyDescent="0.35">
      <c r="A721" t="s">
        <v>1327</v>
      </c>
      <c r="B721" t="s">
        <v>870</v>
      </c>
      <c r="C721">
        <v>54</v>
      </c>
      <c r="D721" s="8" t="str" cm="1">
        <f t="array" ref="D721">_xlfn.IFS(C721&lt;=2, "Infant", C721&lt;=11, "Child", C721&lt;=17, "Adolescent", C721&lt;=44, "Young Adult", C721&lt;=64, "Middle Aged", C721&lt;=84,"Young Old", C721&gt;=85,"Oldest Old")</f>
        <v>Middle Aged</v>
      </c>
      <c r="E721" t="s">
        <v>18</v>
      </c>
      <c r="F721" s="4">
        <v>45551</v>
      </c>
      <c r="G721" s="4">
        <v>45554</v>
      </c>
      <c r="H721" s="7">
        <f t="shared" si="33"/>
        <v>3</v>
      </c>
      <c r="I721" t="s">
        <v>13</v>
      </c>
      <c r="J721" t="s">
        <v>111</v>
      </c>
      <c r="K721" s="2">
        <v>8029.13</v>
      </c>
      <c r="L721" s="9">
        <v>0.8</v>
      </c>
      <c r="M721" s="15">
        <f t="shared" si="34"/>
        <v>6423.3040000000001</v>
      </c>
      <c r="N721" s="15">
        <f t="shared" si="35"/>
        <v>1605.826</v>
      </c>
      <c r="O721" t="s">
        <v>20</v>
      </c>
    </row>
    <row r="722" spans="1:15" hidden="1" x14ac:dyDescent="0.35">
      <c r="A722" t="s">
        <v>1328</v>
      </c>
      <c r="B722" t="s">
        <v>1329</v>
      </c>
      <c r="C722">
        <v>45</v>
      </c>
      <c r="D722" s="8" t="str" cm="1">
        <f t="array" ref="D722">_xlfn.IFS(C722&lt;=2, "Infant", C722&lt;=11, "Child", C722&lt;=17, "Adolescent", C722&lt;=44, "Young Adult", C722&lt;=64, "Middle Aged", C722&lt;=84,"Young Old", C722&gt;=85,"Oldest Old")</f>
        <v>Middle Aged</v>
      </c>
      <c r="E722" t="s">
        <v>12</v>
      </c>
      <c r="F722" s="4">
        <v>45973</v>
      </c>
      <c r="G722" s="4">
        <v>45974</v>
      </c>
      <c r="H722" s="7">
        <f t="shared" si="33"/>
        <v>1</v>
      </c>
      <c r="I722" t="s">
        <v>31</v>
      </c>
      <c r="J722" t="s">
        <v>35</v>
      </c>
      <c r="K722" s="2">
        <v>858.67</v>
      </c>
      <c r="L722" s="9">
        <v>0.8</v>
      </c>
      <c r="M722" s="15">
        <f t="shared" si="34"/>
        <v>686.93600000000004</v>
      </c>
      <c r="N722" s="15">
        <f t="shared" si="35"/>
        <v>171.73399999999992</v>
      </c>
      <c r="O722" t="s">
        <v>15</v>
      </c>
    </row>
    <row r="723" spans="1:15" hidden="1" x14ac:dyDescent="0.35">
      <c r="A723" t="s">
        <v>1330</v>
      </c>
      <c r="B723" t="s">
        <v>1331</v>
      </c>
      <c r="C723">
        <v>16</v>
      </c>
      <c r="D723" s="8" t="str" cm="1">
        <f t="array" ref="D723">_xlfn.IFS(C723&lt;=2, "Infant", C723&lt;=11, "Child", C723&lt;=17, "Adolescent", C723&lt;=44, "Young Adult", C723&lt;=64, "Middle Aged", C723&lt;=84,"Young Old", C723&gt;=85,"Oldest Old")</f>
        <v>Adolescent</v>
      </c>
      <c r="E723" t="s">
        <v>12</v>
      </c>
      <c r="F723" s="4">
        <v>45978</v>
      </c>
      <c r="G723" s="4">
        <v>45980</v>
      </c>
      <c r="H723" s="7">
        <f t="shared" si="33"/>
        <v>2</v>
      </c>
      <c r="I723" t="s">
        <v>49</v>
      </c>
      <c r="J723" t="s">
        <v>378</v>
      </c>
      <c r="K723" s="2">
        <v>3460.07</v>
      </c>
      <c r="L723" s="9">
        <v>1</v>
      </c>
      <c r="M723" s="15">
        <f t="shared" si="34"/>
        <v>3460.07</v>
      </c>
      <c r="N723" s="15">
        <f t="shared" si="35"/>
        <v>0</v>
      </c>
      <c r="O723" t="s">
        <v>20</v>
      </c>
    </row>
    <row r="724" spans="1:15" hidden="1" x14ac:dyDescent="0.35">
      <c r="A724" t="s">
        <v>1332</v>
      </c>
      <c r="B724" t="s">
        <v>1333</v>
      </c>
      <c r="C724">
        <v>48</v>
      </c>
      <c r="D724" s="8" t="str" cm="1">
        <f t="array" ref="D724">_xlfn.IFS(C724&lt;=2, "Infant", C724&lt;=11, "Child", C724&lt;=17, "Adolescent", C724&lt;=44, "Young Adult", C724&lt;=64, "Middle Aged", C724&lt;=84,"Young Old", C724&gt;=85,"Oldest Old")</f>
        <v>Middle Aged</v>
      </c>
      <c r="E724" t="s">
        <v>12</v>
      </c>
      <c r="F724" s="4">
        <v>45879</v>
      </c>
      <c r="G724" s="4">
        <v>45886</v>
      </c>
      <c r="H724" s="7">
        <f t="shared" si="33"/>
        <v>7</v>
      </c>
      <c r="I724" t="s">
        <v>31</v>
      </c>
      <c r="J724" t="s">
        <v>87</v>
      </c>
      <c r="K724" s="2">
        <v>7776.12</v>
      </c>
      <c r="L724" s="9">
        <v>0.6</v>
      </c>
      <c r="M724" s="15">
        <f t="shared" si="34"/>
        <v>4665.6719999999996</v>
      </c>
      <c r="N724" s="15">
        <f t="shared" si="35"/>
        <v>3110.4480000000003</v>
      </c>
      <c r="O724" t="s">
        <v>20</v>
      </c>
    </row>
    <row r="725" spans="1:15" hidden="1" x14ac:dyDescent="0.35">
      <c r="A725" t="s">
        <v>1334</v>
      </c>
      <c r="B725" t="s">
        <v>651</v>
      </c>
      <c r="C725">
        <v>69</v>
      </c>
      <c r="D725" s="8" t="str" cm="1">
        <f t="array" ref="D725">_xlfn.IFS(C725&lt;=2, "Infant", C725&lt;=11, "Child", C725&lt;=17, "Adolescent", C725&lt;=44, "Young Adult", C725&lt;=64, "Middle Aged", C725&lt;=84,"Young Old", C725&gt;=85,"Oldest Old")</f>
        <v>Young Old</v>
      </c>
      <c r="E725" t="s">
        <v>12</v>
      </c>
      <c r="F725" s="4">
        <v>45410</v>
      </c>
      <c r="G725" s="4">
        <v>45412</v>
      </c>
      <c r="H725" s="7">
        <f t="shared" si="33"/>
        <v>2</v>
      </c>
      <c r="I725" t="s">
        <v>23</v>
      </c>
      <c r="J725" t="s">
        <v>28</v>
      </c>
      <c r="K725" s="2">
        <v>4547.8500000000004</v>
      </c>
      <c r="L725" s="9">
        <v>0.7</v>
      </c>
      <c r="M725" s="15">
        <f t="shared" si="34"/>
        <v>3183.4949999999999</v>
      </c>
      <c r="N725" s="15">
        <f t="shared" si="35"/>
        <v>1364.3550000000005</v>
      </c>
      <c r="O725" t="s">
        <v>25</v>
      </c>
    </row>
    <row r="726" spans="1:15" hidden="1" x14ac:dyDescent="0.35">
      <c r="A726" t="s">
        <v>1335</v>
      </c>
      <c r="B726" t="s">
        <v>1336</v>
      </c>
      <c r="C726">
        <v>68</v>
      </c>
      <c r="D726" s="8" t="str" cm="1">
        <f t="array" ref="D726">_xlfn.IFS(C726&lt;=2, "Infant", C726&lt;=11, "Child", C726&lt;=17, "Adolescent", C726&lt;=44, "Young Adult", C726&lt;=64, "Middle Aged", C726&lt;=84,"Young Old", C726&gt;=85,"Oldest Old")</f>
        <v>Young Old</v>
      </c>
      <c r="E726" t="s">
        <v>18</v>
      </c>
      <c r="F726" s="4">
        <v>45395</v>
      </c>
      <c r="G726" s="4">
        <v>45400</v>
      </c>
      <c r="H726" s="7">
        <f t="shared" si="33"/>
        <v>5</v>
      </c>
      <c r="I726" t="s">
        <v>13</v>
      </c>
      <c r="J726" t="s">
        <v>38</v>
      </c>
      <c r="K726" s="2">
        <v>11509.91</v>
      </c>
      <c r="L726" s="9">
        <v>0</v>
      </c>
      <c r="M726" s="15">
        <f t="shared" si="34"/>
        <v>0</v>
      </c>
      <c r="N726" s="15">
        <f t="shared" si="35"/>
        <v>11509.91</v>
      </c>
      <c r="O726" t="s">
        <v>20</v>
      </c>
    </row>
    <row r="727" spans="1:15" hidden="1" x14ac:dyDescent="0.35">
      <c r="A727" t="s">
        <v>1337</v>
      </c>
      <c r="B727" t="s">
        <v>335</v>
      </c>
      <c r="C727">
        <v>22</v>
      </c>
      <c r="D727" s="8" t="str" cm="1">
        <f t="array" ref="D727">_xlfn.IFS(C727&lt;=2, "Infant", C727&lt;=11, "Child", C727&lt;=17, "Adolescent", C727&lt;=44, "Young Adult", C727&lt;=64, "Middle Aged", C727&lt;=84,"Young Old", C727&gt;=85,"Oldest Old")</f>
        <v>Young Adult</v>
      </c>
      <c r="E727" t="s">
        <v>18</v>
      </c>
      <c r="F727" s="4">
        <v>45453</v>
      </c>
      <c r="G727" s="4">
        <v>45456</v>
      </c>
      <c r="H727" s="7">
        <f t="shared" si="33"/>
        <v>3</v>
      </c>
      <c r="I727" t="s">
        <v>23</v>
      </c>
      <c r="J727" t="s">
        <v>221</v>
      </c>
      <c r="K727" s="2">
        <v>2402.42</v>
      </c>
      <c r="L727" s="9">
        <v>1</v>
      </c>
      <c r="M727" s="15">
        <f t="shared" si="34"/>
        <v>2402.42</v>
      </c>
      <c r="N727" s="15">
        <f t="shared" si="35"/>
        <v>0</v>
      </c>
      <c r="O727" t="s">
        <v>15</v>
      </c>
    </row>
    <row r="728" spans="1:15" hidden="1" x14ac:dyDescent="0.35">
      <c r="A728" t="s">
        <v>1338</v>
      </c>
      <c r="B728" t="s">
        <v>1339</v>
      </c>
      <c r="C728">
        <v>15</v>
      </c>
      <c r="D728" s="8" t="str" cm="1">
        <f t="array" ref="D728">_xlfn.IFS(C728&lt;=2, "Infant", C728&lt;=11, "Child", C728&lt;=17, "Adolescent", C728&lt;=44, "Young Adult", C728&lt;=64, "Middle Aged", C728&lt;=84,"Young Old", C728&gt;=85,"Oldest Old")</f>
        <v>Adolescent</v>
      </c>
      <c r="E728" t="s">
        <v>12</v>
      </c>
      <c r="F728" s="4">
        <v>45352</v>
      </c>
      <c r="G728" s="4">
        <v>45356</v>
      </c>
      <c r="H728" s="7">
        <f t="shared" si="33"/>
        <v>4</v>
      </c>
      <c r="I728" t="s">
        <v>49</v>
      </c>
      <c r="J728" t="s">
        <v>50</v>
      </c>
      <c r="K728" s="2">
        <v>4108.03</v>
      </c>
      <c r="L728" s="9">
        <v>0.8</v>
      </c>
      <c r="M728" s="15">
        <f t="shared" si="34"/>
        <v>3286.424</v>
      </c>
      <c r="N728" s="15">
        <f t="shared" si="35"/>
        <v>821.60599999999977</v>
      </c>
      <c r="O728" t="s">
        <v>15</v>
      </c>
    </row>
    <row r="729" spans="1:15" hidden="1" x14ac:dyDescent="0.35">
      <c r="A729" t="s">
        <v>1340</v>
      </c>
      <c r="B729" t="s">
        <v>1341</v>
      </c>
      <c r="C729">
        <v>48</v>
      </c>
      <c r="D729" s="8" t="str" cm="1">
        <f t="array" ref="D729">_xlfn.IFS(C729&lt;=2, "Infant", C729&lt;=11, "Child", C729&lt;=17, "Adolescent", C729&lt;=44, "Young Adult", C729&lt;=64, "Middle Aged", C729&lt;=84,"Young Old", C729&gt;=85,"Oldest Old")</f>
        <v>Middle Aged</v>
      </c>
      <c r="E729" t="s">
        <v>18</v>
      </c>
      <c r="F729" s="4">
        <v>45674</v>
      </c>
      <c r="G729" s="4">
        <v>45680</v>
      </c>
      <c r="H729" s="7">
        <f t="shared" si="33"/>
        <v>6</v>
      </c>
      <c r="I729" t="s">
        <v>31</v>
      </c>
      <c r="J729" t="s">
        <v>87</v>
      </c>
      <c r="K729" s="2">
        <v>3552.94</v>
      </c>
      <c r="L729" s="9">
        <v>0.8</v>
      </c>
      <c r="M729" s="15">
        <f t="shared" si="34"/>
        <v>2842.3520000000003</v>
      </c>
      <c r="N729" s="15">
        <f t="shared" si="35"/>
        <v>710.58799999999974</v>
      </c>
      <c r="O729" t="s">
        <v>20</v>
      </c>
    </row>
    <row r="730" spans="1:15" hidden="1" x14ac:dyDescent="0.35">
      <c r="A730" t="s">
        <v>1342</v>
      </c>
      <c r="B730" t="s">
        <v>721</v>
      </c>
      <c r="C730">
        <v>85</v>
      </c>
      <c r="D730" s="8" t="str" cm="1">
        <f t="array" ref="D730">_xlfn.IFS(C730&lt;=2, "Infant", C730&lt;=11, "Child", C730&lt;=17, "Adolescent", C730&lt;=44, "Young Adult", C730&lt;=64, "Middle Aged", C730&lt;=84,"Young Old", C730&gt;=85,"Oldest Old")</f>
        <v>Oldest Old</v>
      </c>
      <c r="E730" t="s">
        <v>18</v>
      </c>
      <c r="F730" s="4">
        <v>45521</v>
      </c>
      <c r="G730" s="4">
        <v>45524</v>
      </c>
      <c r="H730" s="7">
        <f t="shared" si="33"/>
        <v>3</v>
      </c>
      <c r="I730" t="s">
        <v>23</v>
      </c>
      <c r="J730" t="s">
        <v>41</v>
      </c>
      <c r="K730" s="2">
        <v>2872.72</v>
      </c>
      <c r="L730" s="9">
        <v>0.5</v>
      </c>
      <c r="M730" s="15">
        <f t="shared" si="34"/>
        <v>1436.36</v>
      </c>
      <c r="N730" s="15">
        <f t="shared" si="35"/>
        <v>1436.36</v>
      </c>
      <c r="O730" t="s">
        <v>20</v>
      </c>
    </row>
    <row r="731" spans="1:15" hidden="1" x14ac:dyDescent="0.35">
      <c r="A731" t="s">
        <v>1343</v>
      </c>
      <c r="B731" t="s">
        <v>1344</v>
      </c>
      <c r="C731">
        <v>49</v>
      </c>
      <c r="D731" s="8" t="str" cm="1">
        <f t="array" ref="D731">_xlfn.IFS(C731&lt;=2, "Infant", C731&lt;=11, "Child", C731&lt;=17, "Adolescent", C731&lt;=44, "Young Adult", C731&lt;=64, "Middle Aged", C731&lt;=84,"Young Old", C731&gt;=85,"Oldest Old")</f>
        <v>Middle Aged</v>
      </c>
      <c r="E731" t="s">
        <v>12</v>
      </c>
      <c r="F731" s="4">
        <v>45608</v>
      </c>
      <c r="G731" s="4">
        <v>45616</v>
      </c>
      <c r="H731" s="7">
        <f t="shared" si="33"/>
        <v>8</v>
      </c>
      <c r="I731" t="s">
        <v>60</v>
      </c>
      <c r="J731" t="s">
        <v>61</v>
      </c>
      <c r="K731" s="2">
        <v>8897.51</v>
      </c>
      <c r="L731" s="9">
        <v>0.8</v>
      </c>
      <c r="M731" s="15">
        <f t="shared" si="34"/>
        <v>7118.0080000000007</v>
      </c>
      <c r="N731" s="15">
        <f t="shared" si="35"/>
        <v>1779.5019999999995</v>
      </c>
      <c r="O731" t="s">
        <v>15</v>
      </c>
    </row>
    <row r="732" spans="1:15" hidden="1" x14ac:dyDescent="0.35">
      <c r="A732" t="s">
        <v>1345</v>
      </c>
      <c r="B732" t="s">
        <v>762</v>
      </c>
      <c r="C732">
        <v>10</v>
      </c>
      <c r="D732" s="8" t="str" cm="1">
        <f t="array" ref="D732">_xlfn.IFS(C732&lt;=2, "Infant", C732&lt;=11, "Child", C732&lt;=17, "Adolescent", C732&lt;=44, "Young Adult", C732&lt;=64, "Middle Aged", C732&lt;=84,"Young Old", C732&gt;=85,"Oldest Old")</f>
        <v>Child</v>
      </c>
      <c r="E732" t="s">
        <v>18</v>
      </c>
      <c r="F732" s="4">
        <v>45407</v>
      </c>
      <c r="G732" s="4">
        <v>45410</v>
      </c>
      <c r="H732" s="7">
        <f t="shared" si="33"/>
        <v>3</v>
      </c>
      <c r="I732" t="s">
        <v>49</v>
      </c>
      <c r="J732" t="s">
        <v>123</v>
      </c>
      <c r="K732" s="2">
        <v>3469.08</v>
      </c>
      <c r="L732" s="9">
        <v>0.8</v>
      </c>
      <c r="M732" s="15">
        <f t="shared" si="34"/>
        <v>2775.2640000000001</v>
      </c>
      <c r="N732" s="15">
        <f t="shared" si="35"/>
        <v>693.8159999999998</v>
      </c>
      <c r="O732" t="s">
        <v>15</v>
      </c>
    </row>
    <row r="733" spans="1:15" hidden="1" x14ac:dyDescent="0.35">
      <c r="A733" t="s">
        <v>1346</v>
      </c>
      <c r="B733" t="s">
        <v>1347</v>
      </c>
      <c r="C733">
        <v>47</v>
      </c>
      <c r="D733" s="8" t="str" cm="1">
        <f t="array" ref="D733">_xlfn.IFS(C733&lt;=2, "Infant", C733&lt;=11, "Child", C733&lt;=17, "Adolescent", C733&lt;=44, "Young Adult", C733&lt;=64, "Middle Aged", C733&lt;=84,"Young Old", C733&gt;=85,"Oldest Old")</f>
        <v>Middle Aged</v>
      </c>
      <c r="E733" t="s">
        <v>12</v>
      </c>
      <c r="F733" s="4">
        <v>45300</v>
      </c>
      <c r="G733" s="4">
        <v>45306</v>
      </c>
      <c r="H733" s="7">
        <f t="shared" si="33"/>
        <v>6</v>
      </c>
      <c r="I733" t="s">
        <v>13</v>
      </c>
      <c r="J733" t="s">
        <v>19</v>
      </c>
      <c r="K733" s="2">
        <v>8778.52</v>
      </c>
      <c r="L733" s="9">
        <v>0.8</v>
      </c>
      <c r="M733" s="15">
        <f t="shared" si="34"/>
        <v>7022.8160000000007</v>
      </c>
      <c r="N733" s="15">
        <f t="shared" si="35"/>
        <v>1755.7039999999997</v>
      </c>
      <c r="O733" t="s">
        <v>20</v>
      </c>
    </row>
    <row r="734" spans="1:15" hidden="1" x14ac:dyDescent="0.35">
      <c r="A734" t="s">
        <v>1348</v>
      </c>
      <c r="B734" t="s">
        <v>647</v>
      </c>
      <c r="C734">
        <v>66</v>
      </c>
      <c r="D734" s="8" t="str" cm="1">
        <f t="array" ref="D734">_xlfn.IFS(C734&lt;=2, "Infant", C734&lt;=11, "Child", C734&lt;=17, "Adolescent", C734&lt;=44, "Young Adult", C734&lt;=64, "Middle Aged", C734&lt;=84,"Young Old", C734&gt;=85,"Oldest Old")</f>
        <v>Young Old</v>
      </c>
      <c r="E734" t="s">
        <v>12</v>
      </c>
      <c r="F734" s="4">
        <v>45449</v>
      </c>
      <c r="G734" s="4">
        <v>45463</v>
      </c>
      <c r="H734" s="7">
        <f t="shared" si="33"/>
        <v>14</v>
      </c>
      <c r="I734" t="s">
        <v>60</v>
      </c>
      <c r="J734" t="s">
        <v>133</v>
      </c>
      <c r="K734" s="2">
        <v>38501.9</v>
      </c>
      <c r="L734" s="9">
        <v>0.8</v>
      </c>
      <c r="M734" s="15">
        <f t="shared" si="34"/>
        <v>30801.520000000004</v>
      </c>
      <c r="N734" s="15">
        <f t="shared" si="35"/>
        <v>7700.3799999999974</v>
      </c>
      <c r="O734" t="s">
        <v>15</v>
      </c>
    </row>
    <row r="735" spans="1:15" hidden="1" x14ac:dyDescent="0.35">
      <c r="A735" t="s">
        <v>1349</v>
      </c>
      <c r="B735" t="s">
        <v>352</v>
      </c>
      <c r="C735">
        <v>43</v>
      </c>
      <c r="D735" s="8" t="str" cm="1">
        <f t="array" ref="D735">_xlfn.IFS(C735&lt;=2, "Infant", C735&lt;=11, "Child", C735&lt;=17, "Adolescent", C735&lt;=44, "Young Adult", C735&lt;=64, "Middle Aged", C735&lt;=84,"Young Old", C735&gt;=85,"Oldest Old")</f>
        <v>Young Adult</v>
      </c>
      <c r="E735" t="s">
        <v>12</v>
      </c>
      <c r="F735" s="4">
        <v>46016</v>
      </c>
      <c r="G735" s="4">
        <v>46018</v>
      </c>
      <c r="H735" s="7">
        <f t="shared" si="33"/>
        <v>2</v>
      </c>
      <c r="I735" t="s">
        <v>31</v>
      </c>
      <c r="J735" t="s">
        <v>234</v>
      </c>
      <c r="K735" s="2">
        <v>1693.89</v>
      </c>
      <c r="L735" s="9">
        <v>0.8</v>
      </c>
      <c r="M735" s="15">
        <f t="shared" si="34"/>
        <v>1355.1120000000001</v>
      </c>
      <c r="N735" s="15">
        <f t="shared" si="35"/>
        <v>338.77800000000002</v>
      </c>
      <c r="O735" t="s">
        <v>15</v>
      </c>
    </row>
    <row r="736" spans="1:15" hidden="1" x14ac:dyDescent="0.35">
      <c r="A736" t="s">
        <v>1350</v>
      </c>
      <c r="B736" t="s">
        <v>1351</v>
      </c>
      <c r="C736">
        <v>29</v>
      </c>
      <c r="D736" s="8" t="str" cm="1">
        <f t="array" ref="D736">_xlfn.IFS(C736&lt;=2, "Infant", C736&lt;=11, "Child", C736&lt;=17, "Adolescent", C736&lt;=44, "Young Adult", C736&lt;=64, "Middle Aged", C736&lt;=84,"Young Old", C736&gt;=85,"Oldest Old")</f>
        <v>Young Adult</v>
      </c>
      <c r="E736" t="s">
        <v>12</v>
      </c>
      <c r="F736" s="4">
        <v>45440</v>
      </c>
      <c r="G736" s="4">
        <v>45441</v>
      </c>
      <c r="H736" s="7">
        <f t="shared" si="33"/>
        <v>1</v>
      </c>
      <c r="I736" t="s">
        <v>23</v>
      </c>
      <c r="J736" t="s">
        <v>82</v>
      </c>
      <c r="K736" s="2">
        <v>1250.03</v>
      </c>
      <c r="L736" s="9">
        <v>0.8</v>
      </c>
      <c r="M736" s="15">
        <f t="shared" si="34"/>
        <v>1000.024</v>
      </c>
      <c r="N736" s="15">
        <f t="shared" si="35"/>
        <v>250.00599999999997</v>
      </c>
      <c r="O736" t="s">
        <v>15</v>
      </c>
    </row>
    <row r="737" spans="1:15" hidden="1" x14ac:dyDescent="0.35">
      <c r="A737" t="s">
        <v>1352</v>
      </c>
      <c r="B737" t="s">
        <v>127</v>
      </c>
      <c r="C737">
        <v>76</v>
      </c>
      <c r="D737" s="8" t="str" cm="1">
        <f t="array" ref="D737">_xlfn.IFS(C737&lt;=2, "Infant", C737&lt;=11, "Child", C737&lt;=17, "Adolescent", C737&lt;=44, "Young Adult", C737&lt;=64, "Middle Aged", C737&lt;=84,"Young Old", C737&gt;=85,"Oldest Old")</f>
        <v>Young Old</v>
      </c>
      <c r="E737" t="s">
        <v>18</v>
      </c>
      <c r="F737" s="4">
        <v>45577</v>
      </c>
      <c r="G737" s="4">
        <v>45578</v>
      </c>
      <c r="H737" s="7">
        <f t="shared" si="33"/>
        <v>1</v>
      </c>
      <c r="I737" t="s">
        <v>23</v>
      </c>
      <c r="J737" t="s">
        <v>221</v>
      </c>
      <c r="K737" s="2">
        <v>2286.5500000000002</v>
      </c>
      <c r="L737" s="9">
        <v>0.9</v>
      </c>
      <c r="M737" s="15">
        <f t="shared" si="34"/>
        <v>2057.8950000000004</v>
      </c>
      <c r="N737" s="15">
        <f t="shared" si="35"/>
        <v>228.65499999999975</v>
      </c>
      <c r="O737" t="s">
        <v>25</v>
      </c>
    </row>
    <row r="738" spans="1:15" hidden="1" x14ac:dyDescent="0.35">
      <c r="A738" t="s">
        <v>1353</v>
      </c>
      <c r="B738" t="s">
        <v>396</v>
      </c>
      <c r="C738">
        <v>70</v>
      </c>
      <c r="D738" s="8" t="str" cm="1">
        <f t="array" ref="D738">_xlfn.IFS(C738&lt;=2, "Infant", C738&lt;=11, "Child", C738&lt;=17, "Adolescent", C738&lt;=44, "Young Adult", C738&lt;=64, "Middle Aged", C738&lt;=84,"Young Old", C738&gt;=85,"Oldest Old")</f>
        <v>Young Old</v>
      </c>
      <c r="E738" t="s">
        <v>12</v>
      </c>
      <c r="F738" s="4">
        <v>45504</v>
      </c>
      <c r="G738" s="4">
        <v>45505</v>
      </c>
      <c r="H738" s="7">
        <f t="shared" si="33"/>
        <v>1</v>
      </c>
      <c r="I738" t="s">
        <v>23</v>
      </c>
      <c r="J738" t="s">
        <v>221</v>
      </c>
      <c r="K738" s="2">
        <v>1516.2</v>
      </c>
      <c r="L738" s="9">
        <v>0.8</v>
      </c>
      <c r="M738" s="15">
        <f t="shared" si="34"/>
        <v>1212.96</v>
      </c>
      <c r="N738" s="15">
        <f t="shared" si="35"/>
        <v>303.24</v>
      </c>
      <c r="O738" t="s">
        <v>15</v>
      </c>
    </row>
    <row r="739" spans="1:15" hidden="1" x14ac:dyDescent="0.35">
      <c r="A739" t="s">
        <v>1354</v>
      </c>
      <c r="B739" t="s">
        <v>1355</v>
      </c>
      <c r="C739">
        <v>79</v>
      </c>
      <c r="D739" s="8" t="str" cm="1">
        <f t="array" ref="D739">_xlfn.IFS(C739&lt;=2, "Infant", C739&lt;=11, "Child", C739&lt;=17, "Adolescent", C739&lt;=44, "Young Adult", C739&lt;=64, "Middle Aged", C739&lt;=84,"Young Old", C739&gt;=85,"Oldest Old")</f>
        <v>Young Old</v>
      </c>
      <c r="E739" t="s">
        <v>18</v>
      </c>
      <c r="F739" s="4">
        <v>45659</v>
      </c>
      <c r="G739" s="4">
        <v>45669</v>
      </c>
      <c r="H739" s="7">
        <f t="shared" si="33"/>
        <v>10</v>
      </c>
      <c r="I739" t="s">
        <v>13</v>
      </c>
      <c r="J739" t="s">
        <v>14</v>
      </c>
      <c r="K739" s="2">
        <v>24161.06</v>
      </c>
      <c r="L739" s="9">
        <v>1</v>
      </c>
      <c r="M739" s="15">
        <f t="shared" si="34"/>
        <v>24161.06</v>
      </c>
      <c r="N739" s="15">
        <f t="shared" si="35"/>
        <v>0</v>
      </c>
      <c r="O739" t="s">
        <v>15</v>
      </c>
    </row>
    <row r="740" spans="1:15" hidden="1" x14ac:dyDescent="0.35">
      <c r="A740" t="s">
        <v>1356</v>
      </c>
      <c r="B740" t="s">
        <v>1357</v>
      </c>
      <c r="C740">
        <v>76</v>
      </c>
      <c r="D740" s="8" t="str" cm="1">
        <f t="array" ref="D740">_xlfn.IFS(C740&lt;=2, "Infant", C740&lt;=11, "Child", C740&lt;=17, "Adolescent", C740&lt;=44, "Young Adult", C740&lt;=64, "Middle Aged", C740&lt;=84,"Young Old", C740&gt;=85,"Oldest Old")</f>
        <v>Young Old</v>
      </c>
      <c r="E740" t="s">
        <v>18</v>
      </c>
      <c r="F740" s="4">
        <v>45650</v>
      </c>
      <c r="G740" s="4">
        <v>45653</v>
      </c>
      <c r="H740" s="7">
        <f t="shared" si="33"/>
        <v>3</v>
      </c>
      <c r="I740" t="s">
        <v>23</v>
      </c>
      <c r="J740" t="s">
        <v>41</v>
      </c>
      <c r="K740" s="2">
        <v>5162.18</v>
      </c>
      <c r="L740" s="9">
        <v>0.9</v>
      </c>
      <c r="M740" s="15">
        <f t="shared" si="34"/>
        <v>4645.9620000000004</v>
      </c>
      <c r="N740" s="15">
        <f t="shared" si="35"/>
        <v>516.21799999999985</v>
      </c>
      <c r="O740" t="s">
        <v>25</v>
      </c>
    </row>
    <row r="741" spans="1:15" hidden="1" x14ac:dyDescent="0.35">
      <c r="A741" t="s">
        <v>1358</v>
      </c>
      <c r="B741" t="s">
        <v>602</v>
      </c>
      <c r="C741">
        <v>27</v>
      </c>
      <c r="D741" s="8" t="str" cm="1">
        <f t="array" ref="D741">_xlfn.IFS(C741&lt;=2, "Infant", C741&lt;=11, "Child", C741&lt;=17, "Adolescent", C741&lt;=44, "Young Adult", C741&lt;=64, "Middle Aged", C741&lt;=84,"Young Old", C741&gt;=85,"Oldest Old")</f>
        <v>Young Adult</v>
      </c>
      <c r="E741" t="s">
        <v>12</v>
      </c>
      <c r="F741" s="4">
        <v>45724</v>
      </c>
      <c r="G741" s="4">
        <v>45737</v>
      </c>
      <c r="H741" s="7">
        <f t="shared" si="33"/>
        <v>13</v>
      </c>
      <c r="I741" t="s">
        <v>60</v>
      </c>
      <c r="J741" t="s">
        <v>133</v>
      </c>
      <c r="K741" s="2">
        <v>22371.56</v>
      </c>
      <c r="L741" s="9">
        <v>0.8</v>
      </c>
      <c r="M741" s="15">
        <f t="shared" si="34"/>
        <v>17897.248000000003</v>
      </c>
      <c r="N741" s="15">
        <f t="shared" si="35"/>
        <v>4474.3119999999981</v>
      </c>
      <c r="O741" t="s">
        <v>15</v>
      </c>
    </row>
    <row r="742" spans="1:15" hidden="1" x14ac:dyDescent="0.35">
      <c r="A742" t="s">
        <v>1359</v>
      </c>
      <c r="B742" t="s">
        <v>527</v>
      </c>
      <c r="C742">
        <v>82</v>
      </c>
      <c r="D742" s="8" t="str" cm="1">
        <f t="array" ref="D742">_xlfn.IFS(C742&lt;=2, "Infant", C742&lt;=11, "Child", C742&lt;=17, "Adolescent", C742&lt;=44, "Young Adult", C742&lt;=64, "Middle Aged", C742&lt;=84,"Young Old", C742&gt;=85,"Oldest Old")</f>
        <v>Young Old</v>
      </c>
      <c r="E742" t="s">
        <v>18</v>
      </c>
      <c r="F742" s="4">
        <v>45592</v>
      </c>
      <c r="G742" s="4">
        <v>45593</v>
      </c>
      <c r="H742" s="7">
        <f t="shared" si="33"/>
        <v>1</v>
      </c>
      <c r="I742" t="s">
        <v>23</v>
      </c>
      <c r="J742" t="s">
        <v>82</v>
      </c>
      <c r="K742" s="2">
        <v>1865.06</v>
      </c>
      <c r="L742" s="9">
        <v>0.8</v>
      </c>
      <c r="M742" s="15">
        <f t="shared" si="34"/>
        <v>1492.048</v>
      </c>
      <c r="N742" s="15">
        <f t="shared" si="35"/>
        <v>373.01199999999994</v>
      </c>
      <c r="O742" t="s">
        <v>15</v>
      </c>
    </row>
    <row r="743" spans="1:15" hidden="1" x14ac:dyDescent="0.35">
      <c r="A743" t="s">
        <v>1360</v>
      </c>
      <c r="B743" t="s">
        <v>1361</v>
      </c>
      <c r="C743">
        <v>71</v>
      </c>
      <c r="D743" s="8" t="str" cm="1">
        <f t="array" ref="D743">_xlfn.IFS(C743&lt;=2, "Infant", C743&lt;=11, "Child", C743&lt;=17, "Adolescent", C743&lt;=44, "Young Adult", C743&lt;=64, "Middle Aged", C743&lt;=84,"Young Old", C743&gt;=85,"Oldest Old")</f>
        <v>Young Old</v>
      </c>
      <c r="E743" t="s">
        <v>12</v>
      </c>
      <c r="F743" s="4">
        <v>45558</v>
      </c>
      <c r="G743" s="4">
        <v>45561</v>
      </c>
      <c r="H743" s="7">
        <f t="shared" si="33"/>
        <v>3</v>
      </c>
      <c r="I743" t="s">
        <v>13</v>
      </c>
      <c r="J743" t="s">
        <v>165</v>
      </c>
      <c r="K743" s="2">
        <v>7640.58</v>
      </c>
      <c r="L743" s="9">
        <v>0.8</v>
      </c>
      <c r="M743" s="15">
        <f t="shared" si="34"/>
        <v>6112.4639999999999</v>
      </c>
      <c r="N743" s="15">
        <f t="shared" si="35"/>
        <v>1528.116</v>
      </c>
      <c r="O743" t="s">
        <v>25</v>
      </c>
    </row>
    <row r="744" spans="1:15" hidden="1" x14ac:dyDescent="0.35">
      <c r="A744" t="s">
        <v>1362</v>
      </c>
      <c r="B744" t="s">
        <v>328</v>
      </c>
      <c r="C744">
        <v>69</v>
      </c>
      <c r="D744" s="8" t="str" cm="1">
        <f t="array" ref="D744">_xlfn.IFS(C744&lt;=2, "Infant", C744&lt;=11, "Child", C744&lt;=17, "Adolescent", C744&lt;=44, "Young Adult", C744&lt;=64, "Middle Aged", C744&lt;=84,"Young Old", C744&gt;=85,"Oldest Old")</f>
        <v>Young Old</v>
      </c>
      <c r="E744" t="s">
        <v>18</v>
      </c>
      <c r="F744" s="4">
        <v>45688</v>
      </c>
      <c r="G744" s="4">
        <v>45690</v>
      </c>
      <c r="H744" s="7">
        <f t="shared" si="33"/>
        <v>2</v>
      </c>
      <c r="I744" t="s">
        <v>31</v>
      </c>
      <c r="J744" t="s">
        <v>35</v>
      </c>
      <c r="K744" s="2">
        <v>2892.4</v>
      </c>
      <c r="L744" s="9">
        <v>0.5</v>
      </c>
      <c r="M744" s="15">
        <f t="shared" si="34"/>
        <v>1446.2</v>
      </c>
      <c r="N744" s="15">
        <f t="shared" si="35"/>
        <v>1446.2</v>
      </c>
      <c r="O744" t="s">
        <v>15</v>
      </c>
    </row>
    <row r="745" spans="1:15" hidden="1" x14ac:dyDescent="0.35">
      <c r="A745" t="s">
        <v>1363</v>
      </c>
      <c r="B745" t="s">
        <v>369</v>
      </c>
      <c r="C745">
        <v>32</v>
      </c>
      <c r="D745" s="8" t="str" cm="1">
        <f t="array" ref="D745">_xlfn.IFS(C745&lt;=2, "Infant", C745&lt;=11, "Child", C745&lt;=17, "Adolescent", C745&lt;=44, "Young Adult", C745&lt;=64, "Middle Aged", C745&lt;=84,"Young Old", C745&gt;=85,"Oldest Old")</f>
        <v>Young Adult</v>
      </c>
      <c r="E745" t="s">
        <v>12</v>
      </c>
      <c r="F745" s="4">
        <v>45650</v>
      </c>
      <c r="G745" s="4">
        <v>45657</v>
      </c>
      <c r="H745" s="7">
        <f t="shared" si="33"/>
        <v>7</v>
      </c>
      <c r="I745" t="s">
        <v>70</v>
      </c>
      <c r="J745" t="s">
        <v>71</v>
      </c>
      <c r="K745" s="2">
        <v>9495.5300000000007</v>
      </c>
      <c r="L745" s="9">
        <v>1</v>
      </c>
      <c r="M745" s="15">
        <f t="shared" si="34"/>
        <v>9495.5300000000007</v>
      </c>
      <c r="N745" s="15">
        <f t="shared" si="35"/>
        <v>0</v>
      </c>
      <c r="O745" t="s">
        <v>20</v>
      </c>
    </row>
    <row r="746" spans="1:15" hidden="1" x14ac:dyDescent="0.35">
      <c r="A746" t="s">
        <v>1364</v>
      </c>
      <c r="B746" t="s">
        <v>550</v>
      </c>
      <c r="C746">
        <v>29</v>
      </c>
      <c r="D746" s="8" t="str" cm="1">
        <f t="array" ref="D746">_xlfn.IFS(C746&lt;=2, "Infant", C746&lt;=11, "Child", C746&lt;=17, "Adolescent", C746&lt;=44, "Young Adult", C746&lt;=64, "Middle Aged", C746&lt;=84,"Young Old", C746&gt;=85,"Oldest Old")</f>
        <v>Young Adult</v>
      </c>
      <c r="E746" t="s">
        <v>18</v>
      </c>
      <c r="F746" s="4">
        <v>45559</v>
      </c>
      <c r="G746" s="4">
        <v>45560</v>
      </c>
      <c r="H746" s="7">
        <f t="shared" si="33"/>
        <v>1</v>
      </c>
      <c r="I746" t="s">
        <v>23</v>
      </c>
      <c r="J746" t="s">
        <v>28</v>
      </c>
      <c r="K746" s="2">
        <v>870.1</v>
      </c>
      <c r="L746" s="9">
        <v>0.8</v>
      </c>
      <c r="M746" s="15">
        <f t="shared" si="34"/>
        <v>696.08</v>
      </c>
      <c r="N746" s="15">
        <f t="shared" si="35"/>
        <v>174.01999999999998</v>
      </c>
      <c r="O746" t="s">
        <v>15</v>
      </c>
    </row>
    <row r="747" spans="1:15" x14ac:dyDescent="0.35">
      <c r="A747" t="s">
        <v>1365</v>
      </c>
      <c r="B747" t="s">
        <v>300</v>
      </c>
      <c r="C747">
        <v>76</v>
      </c>
      <c r="D747" s="8" t="str" cm="1">
        <f t="array" ref="D747">_xlfn.IFS(C747&lt;=2, "Infant", C747&lt;=11, "Child", C747&lt;=17, "Adolescent", C747&lt;=44, "Young Adult", C747&lt;=64, "Middle Aged", C747&lt;=84,"Young Old", C747&gt;=85,"Oldest Old")</f>
        <v>Young Old</v>
      </c>
      <c r="E747" t="s">
        <v>18</v>
      </c>
      <c r="F747" s="4">
        <v>45306</v>
      </c>
      <c r="G747" s="4">
        <v>45307</v>
      </c>
      <c r="H747" s="7">
        <f t="shared" si="33"/>
        <v>1</v>
      </c>
      <c r="I747" t="s">
        <v>31</v>
      </c>
      <c r="J747" t="s">
        <v>32</v>
      </c>
      <c r="K747" s="2">
        <v>1437.06</v>
      </c>
      <c r="L747" s="9">
        <v>0.7</v>
      </c>
      <c r="M747" s="15">
        <f t="shared" si="34"/>
        <v>1005.9419999999999</v>
      </c>
      <c r="N747" s="15">
        <f t="shared" si="35"/>
        <v>431.11800000000005</v>
      </c>
      <c r="O747" t="s">
        <v>20</v>
      </c>
    </row>
    <row r="748" spans="1:15" hidden="1" x14ac:dyDescent="0.35">
      <c r="A748" t="s">
        <v>1366</v>
      </c>
      <c r="B748" t="s">
        <v>502</v>
      </c>
      <c r="C748">
        <v>53</v>
      </c>
      <c r="D748" s="8" t="str" cm="1">
        <f t="array" ref="D748">_xlfn.IFS(C748&lt;=2, "Infant", C748&lt;=11, "Child", C748&lt;=17, "Adolescent", C748&lt;=44, "Young Adult", C748&lt;=64, "Middle Aged", C748&lt;=84,"Young Old", C748&gt;=85,"Oldest Old")</f>
        <v>Middle Aged</v>
      </c>
      <c r="E748" t="s">
        <v>18</v>
      </c>
      <c r="F748" s="4">
        <v>45519</v>
      </c>
      <c r="G748" s="4">
        <v>45524</v>
      </c>
      <c r="H748" s="7">
        <f t="shared" si="33"/>
        <v>5</v>
      </c>
      <c r="I748" t="s">
        <v>31</v>
      </c>
      <c r="J748" t="s">
        <v>53</v>
      </c>
      <c r="K748" s="2">
        <v>2735.83</v>
      </c>
      <c r="L748" s="9">
        <v>0.9</v>
      </c>
      <c r="M748" s="15">
        <f t="shared" si="34"/>
        <v>2462.2469999999998</v>
      </c>
      <c r="N748" s="15">
        <f t="shared" si="35"/>
        <v>273.58300000000008</v>
      </c>
      <c r="O748" t="s">
        <v>20</v>
      </c>
    </row>
    <row r="749" spans="1:15" hidden="1" x14ac:dyDescent="0.35">
      <c r="A749" t="s">
        <v>1367</v>
      </c>
      <c r="B749" t="s">
        <v>177</v>
      </c>
      <c r="C749">
        <v>27</v>
      </c>
      <c r="D749" s="8" t="str" cm="1">
        <f t="array" ref="D749">_xlfn.IFS(C749&lt;=2, "Infant", C749&lt;=11, "Child", C749&lt;=17, "Adolescent", C749&lt;=44, "Young Adult", C749&lt;=64, "Middle Aged", C749&lt;=84,"Young Old", C749&gt;=85,"Oldest Old")</f>
        <v>Young Adult</v>
      </c>
      <c r="E749" t="s">
        <v>12</v>
      </c>
      <c r="F749" s="4">
        <v>45628</v>
      </c>
      <c r="G749" s="4">
        <v>45629</v>
      </c>
      <c r="H749" s="7">
        <f t="shared" si="33"/>
        <v>1</v>
      </c>
      <c r="I749" t="s">
        <v>23</v>
      </c>
      <c r="J749" t="s">
        <v>24</v>
      </c>
      <c r="K749" s="2">
        <v>1879.03</v>
      </c>
      <c r="L749" s="9">
        <v>1</v>
      </c>
      <c r="M749" s="15">
        <f t="shared" si="34"/>
        <v>1879.03</v>
      </c>
      <c r="N749" s="15">
        <f t="shared" si="35"/>
        <v>0</v>
      </c>
      <c r="O749" t="s">
        <v>15</v>
      </c>
    </row>
    <row r="750" spans="1:15" hidden="1" x14ac:dyDescent="0.35">
      <c r="A750" t="s">
        <v>1368</v>
      </c>
      <c r="B750" t="s">
        <v>721</v>
      </c>
      <c r="C750">
        <v>11</v>
      </c>
      <c r="D750" s="8" t="str" cm="1">
        <f t="array" ref="D750">_xlfn.IFS(C750&lt;=2, "Infant", C750&lt;=11, "Child", C750&lt;=17, "Adolescent", C750&lt;=44, "Young Adult", C750&lt;=64, "Middle Aged", C750&lt;=84,"Young Old", C750&gt;=85,"Oldest Old")</f>
        <v>Child</v>
      </c>
      <c r="E750" t="s">
        <v>18</v>
      </c>
      <c r="F750" s="4">
        <v>45482</v>
      </c>
      <c r="G750" s="4">
        <v>45486</v>
      </c>
      <c r="H750" s="7">
        <f t="shared" si="33"/>
        <v>4</v>
      </c>
      <c r="I750" t="s">
        <v>49</v>
      </c>
      <c r="J750" t="s">
        <v>130</v>
      </c>
      <c r="K750" s="2">
        <v>4685.1499999999996</v>
      </c>
      <c r="L750" s="9">
        <v>0.7</v>
      </c>
      <c r="M750" s="15">
        <f t="shared" si="34"/>
        <v>3279.6049999999996</v>
      </c>
      <c r="N750" s="15">
        <f t="shared" si="35"/>
        <v>1405.5450000000001</v>
      </c>
      <c r="O750" t="s">
        <v>25</v>
      </c>
    </row>
    <row r="751" spans="1:15" hidden="1" x14ac:dyDescent="0.35">
      <c r="A751" t="s">
        <v>1369</v>
      </c>
      <c r="B751" t="s">
        <v>369</v>
      </c>
      <c r="C751">
        <v>30</v>
      </c>
      <c r="D751" s="8" t="str" cm="1">
        <f t="array" ref="D751">_xlfn.IFS(C751&lt;=2, "Infant", C751&lt;=11, "Child", C751&lt;=17, "Adolescent", C751&lt;=44, "Young Adult", C751&lt;=64, "Middle Aged", C751&lt;=84,"Young Old", C751&gt;=85,"Oldest Old")</f>
        <v>Young Adult</v>
      </c>
      <c r="E751" t="s">
        <v>12</v>
      </c>
      <c r="F751" s="4">
        <v>45987</v>
      </c>
      <c r="G751" s="4">
        <v>45989</v>
      </c>
      <c r="H751" s="7">
        <f t="shared" si="33"/>
        <v>2</v>
      </c>
      <c r="I751" t="s">
        <v>23</v>
      </c>
      <c r="J751" t="s">
        <v>41</v>
      </c>
      <c r="K751" s="2">
        <v>4638.3500000000004</v>
      </c>
      <c r="L751" s="9">
        <v>0.9</v>
      </c>
      <c r="M751" s="15">
        <f t="shared" si="34"/>
        <v>4174.5150000000003</v>
      </c>
      <c r="N751" s="15">
        <f t="shared" si="35"/>
        <v>463.83500000000004</v>
      </c>
      <c r="O751" t="s">
        <v>25</v>
      </c>
    </row>
    <row r="752" spans="1:15" hidden="1" x14ac:dyDescent="0.35">
      <c r="A752" t="s">
        <v>1370</v>
      </c>
      <c r="B752" t="s">
        <v>17</v>
      </c>
      <c r="C752">
        <v>35</v>
      </c>
      <c r="D752" s="8" t="str" cm="1">
        <f t="array" ref="D752">_xlfn.IFS(C752&lt;=2, "Infant", C752&lt;=11, "Child", C752&lt;=17, "Adolescent", C752&lt;=44, "Young Adult", C752&lt;=64, "Middle Aged", C752&lt;=84,"Young Old", C752&gt;=85,"Oldest Old")</f>
        <v>Young Adult</v>
      </c>
      <c r="E752" t="s">
        <v>18</v>
      </c>
      <c r="F752" s="4">
        <v>45454</v>
      </c>
      <c r="G752" s="4">
        <v>45457</v>
      </c>
      <c r="H752" s="7">
        <f t="shared" si="33"/>
        <v>3</v>
      </c>
      <c r="I752" t="s">
        <v>23</v>
      </c>
      <c r="J752" t="s">
        <v>333</v>
      </c>
      <c r="K752" s="2">
        <v>6181.48</v>
      </c>
      <c r="L752" s="9">
        <v>0.9</v>
      </c>
      <c r="M752" s="15">
        <f t="shared" si="34"/>
        <v>5563.3319999999994</v>
      </c>
      <c r="N752" s="15">
        <f t="shared" si="35"/>
        <v>618.14800000000014</v>
      </c>
      <c r="O752" t="s">
        <v>15</v>
      </c>
    </row>
    <row r="753" spans="1:15" hidden="1" x14ac:dyDescent="0.35">
      <c r="A753" t="s">
        <v>1371</v>
      </c>
      <c r="B753" t="s">
        <v>156</v>
      </c>
      <c r="C753">
        <v>66</v>
      </c>
      <c r="D753" s="8" t="str" cm="1">
        <f t="array" ref="D753">_xlfn.IFS(C753&lt;=2, "Infant", C753&lt;=11, "Child", C753&lt;=17, "Adolescent", C753&lt;=44, "Young Adult", C753&lt;=64, "Middle Aged", C753&lt;=84,"Young Old", C753&gt;=85,"Oldest Old")</f>
        <v>Young Old</v>
      </c>
      <c r="E753" t="s">
        <v>18</v>
      </c>
      <c r="F753" s="4">
        <v>45993</v>
      </c>
      <c r="G753" s="4">
        <v>45999</v>
      </c>
      <c r="H753" s="7">
        <f t="shared" si="33"/>
        <v>6</v>
      </c>
      <c r="I753" t="s">
        <v>70</v>
      </c>
      <c r="J753" t="s">
        <v>237</v>
      </c>
      <c r="K753" s="2">
        <v>10893.55</v>
      </c>
      <c r="L753" s="9">
        <v>0.8</v>
      </c>
      <c r="M753" s="15">
        <f t="shared" si="34"/>
        <v>8714.84</v>
      </c>
      <c r="N753" s="15">
        <f t="shared" si="35"/>
        <v>2178.7099999999991</v>
      </c>
      <c r="O753" t="s">
        <v>15</v>
      </c>
    </row>
    <row r="754" spans="1:15" hidden="1" x14ac:dyDescent="0.35">
      <c r="A754" t="s">
        <v>1372</v>
      </c>
      <c r="B754" t="s">
        <v>746</v>
      </c>
      <c r="C754">
        <v>70</v>
      </c>
      <c r="D754" s="8" t="str" cm="1">
        <f t="array" ref="D754">_xlfn.IFS(C754&lt;=2, "Infant", C754&lt;=11, "Child", C754&lt;=17, "Adolescent", C754&lt;=44, "Young Adult", C754&lt;=64, "Middle Aged", C754&lt;=84,"Young Old", C754&gt;=85,"Oldest Old")</f>
        <v>Young Old</v>
      </c>
      <c r="E754" t="s">
        <v>12</v>
      </c>
      <c r="F754" s="4">
        <v>45481</v>
      </c>
      <c r="G754" s="4">
        <v>45485</v>
      </c>
      <c r="H754" s="7">
        <f t="shared" si="33"/>
        <v>4</v>
      </c>
      <c r="I754" t="s">
        <v>31</v>
      </c>
      <c r="J754" t="s">
        <v>44</v>
      </c>
      <c r="K754" s="2">
        <v>5559.19</v>
      </c>
      <c r="L754" s="9">
        <v>1</v>
      </c>
      <c r="M754" s="15">
        <f t="shared" si="34"/>
        <v>5559.19</v>
      </c>
      <c r="N754" s="15">
        <f t="shared" si="35"/>
        <v>0</v>
      </c>
      <c r="O754" t="s">
        <v>15</v>
      </c>
    </row>
    <row r="755" spans="1:15" hidden="1" x14ac:dyDescent="0.35">
      <c r="A755" t="s">
        <v>1373</v>
      </c>
      <c r="B755" t="s">
        <v>1374</v>
      </c>
      <c r="C755">
        <v>82</v>
      </c>
      <c r="D755" s="8" t="str" cm="1">
        <f t="array" ref="D755">_xlfn.IFS(C755&lt;=2, "Infant", C755&lt;=11, "Child", C755&lt;=17, "Adolescent", C755&lt;=44, "Young Adult", C755&lt;=64, "Middle Aged", C755&lt;=84,"Young Old", C755&gt;=85,"Oldest Old")</f>
        <v>Young Old</v>
      </c>
      <c r="E755" t="s">
        <v>18</v>
      </c>
      <c r="F755" s="4">
        <v>45867</v>
      </c>
      <c r="G755" s="4">
        <v>45873</v>
      </c>
      <c r="H755" s="7">
        <f t="shared" si="33"/>
        <v>6</v>
      </c>
      <c r="I755" t="s">
        <v>13</v>
      </c>
      <c r="J755" t="s">
        <v>165</v>
      </c>
      <c r="K755" s="2">
        <v>12777.22</v>
      </c>
      <c r="L755" s="9">
        <v>0.9</v>
      </c>
      <c r="M755" s="15">
        <f t="shared" si="34"/>
        <v>11499.498</v>
      </c>
      <c r="N755" s="15">
        <f t="shared" si="35"/>
        <v>1277.7219999999998</v>
      </c>
      <c r="O755" t="s">
        <v>15</v>
      </c>
    </row>
    <row r="756" spans="1:15" hidden="1" x14ac:dyDescent="0.35">
      <c r="A756" t="s">
        <v>1375</v>
      </c>
      <c r="B756" t="s">
        <v>1376</v>
      </c>
      <c r="C756">
        <v>28</v>
      </c>
      <c r="D756" s="8" t="str" cm="1">
        <f t="array" ref="D756">_xlfn.IFS(C756&lt;=2, "Infant", C756&lt;=11, "Child", C756&lt;=17, "Adolescent", C756&lt;=44, "Young Adult", C756&lt;=64, "Middle Aged", C756&lt;=84,"Young Old", C756&gt;=85,"Oldest Old")</f>
        <v>Young Adult</v>
      </c>
      <c r="E756" t="s">
        <v>18</v>
      </c>
      <c r="F756" s="4">
        <v>45362</v>
      </c>
      <c r="G756" s="4">
        <v>45363</v>
      </c>
      <c r="H756" s="7">
        <f t="shared" si="33"/>
        <v>1</v>
      </c>
      <c r="I756" t="s">
        <v>23</v>
      </c>
      <c r="J756" t="s">
        <v>41</v>
      </c>
      <c r="K756" s="2">
        <v>824.72</v>
      </c>
      <c r="L756" s="9">
        <v>0.8</v>
      </c>
      <c r="M756" s="15">
        <f t="shared" si="34"/>
        <v>659.77600000000007</v>
      </c>
      <c r="N756" s="15">
        <f t="shared" si="35"/>
        <v>164.94399999999996</v>
      </c>
      <c r="O756" t="s">
        <v>15</v>
      </c>
    </row>
    <row r="757" spans="1:15" hidden="1" x14ac:dyDescent="0.35">
      <c r="A757" t="s">
        <v>1377</v>
      </c>
      <c r="B757" t="s">
        <v>1011</v>
      </c>
      <c r="C757">
        <v>77</v>
      </c>
      <c r="D757" s="8" t="str" cm="1">
        <f t="array" ref="D757">_xlfn.IFS(C757&lt;=2, "Infant", C757&lt;=11, "Child", C757&lt;=17, "Adolescent", C757&lt;=44, "Young Adult", C757&lt;=64, "Middle Aged", C757&lt;=84,"Young Old", C757&gt;=85,"Oldest Old")</f>
        <v>Young Old</v>
      </c>
      <c r="E757" t="s">
        <v>12</v>
      </c>
      <c r="F757" s="4">
        <v>45744</v>
      </c>
      <c r="G757" s="4">
        <v>45748</v>
      </c>
      <c r="H757" s="7">
        <f t="shared" si="33"/>
        <v>4</v>
      </c>
      <c r="I757" t="s">
        <v>70</v>
      </c>
      <c r="J757" t="s">
        <v>194</v>
      </c>
      <c r="K757" s="2">
        <v>7892.83</v>
      </c>
      <c r="L757" s="9">
        <v>0.9</v>
      </c>
      <c r="M757" s="15">
        <f t="shared" si="34"/>
        <v>7103.5470000000005</v>
      </c>
      <c r="N757" s="15">
        <f t="shared" si="35"/>
        <v>789.28299999999945</v>
      </c>
      <c r="O757" t="s">
        <v>15</v>
      </c>
    </row>
    <row r="758" spans="1:15" hidden="1" x14ac:dyDescent="0.35">
      <c r="A758" t="s">
        <v>1378</v>
      </c>
      <c r="B758" t="s">
        <v>913</v>
      </c>
      <c r="C758">
        <v>34</v>
      </c>
      <c r="D758" s="8" t="str" cm="1">
        <f t="array" ref="D758">_xlfn.IFS(C758&lt;=2, "Infant", C758&lt;=11, "Child", C758&lt;=17, "Adolescent", C758&lt;=44, "Young Adult", C758&lt;=64, "Middle Aged", C758&lt;=84,"Young Old", C758&gt;=85,"Oldest Old")</f>
        <v>Young Adult</v>
      </c>
      <c r="E758" t="s">
        <v>18</v>
      </c>
      <c r="F758" s="4">
        <v>45537</v>
      </c>
      <c r="G758" s="4">
        <v>45539</v>
      </c>
      <c r="H758" s="7">
        <f t="shared" si="33"/>
        <v>2</v>
      </c>
      <c r="I758" t="s">
        <v>23</v>
      </c>
      <c r="J758" t="s">
        <v>82</v>
      </c>
      <c r="K758" s="2">
        <v>4965.79</v>
      </c>
      <c r="L758" s="9">
        <v>0.8</v>
      </c>
      <c r="M758" s="15">
        <f t="shared" si="34"/>
        <v>3972.6320000000001</v>
      </c>
      <c r="N758" s="15">
        <f t="shared" si="35"/>
        <v>993.1579999999999</v>
      </c>
      <c r="O758" t="s">
        <v>15</v>
      </c>
    </row>
    <row r="759" spans="1:15" hidden="1" x14ac:dyDescent="0.35">
      <c r="A759" t="s">
        <v>1379</v>
      </c>
      <c r="B759" t="s">
        <v>1380</v>
      </c>
      <c r="C759">
        <v>8</v>
      </c>
      <c r="D759" s="8" t="str" cm="1">
        <f t="array" ref="D759">_xlfn.IFS(C759&lt;=2, "Infant", C759&lt;=11, "Child", C759&lt;=17, "Adolescent", C759&lt;=44, "Young Adult", C759&lt;=64, "Middle Aged", C759&lt;=84,"Young Old", C759&gt;=85,"Oldest Old")</f>
        <v>Child</v>
      </c>
      <c r="E759" t="s">
        <v>18</v>
      </c>
      <c r="F759" s="4">
        <v>45370</v>
      </c>
      <c r="G759" s="4">
        <v>45372</v>
      </c>
      <c r="H759" s="7">
        <f t="shared" si="33"/>
        <v>2</v>
      </c>
      <c r="I759" t="s">
        <v>49</v>
      </c>
      <c r="J759" t="s">
        <v>123</v>
      </c>
      <c r="K759" s="2">
        <v>1380.95</v>
      </c>
      <c r="L759" s="9">
        <v>0.7</v>
      </c>
      <c r="M759" s="15">
        <f t="shared" si="34"/>
        <v>966.66499999999996</v>
      </c>
      <c r="N759" s="15">
        <f t="shared" si="35"/>
        <v>414.28500000000008</v>
      </c>
      <c r="O759" t="s">
        <v>15</v>
      </c>
    </row>
    <row r="760" spans="1:15" hidden="1" x14ac:dyDescent="0.35">
      <c r="A760" t="s">
        <v>1381</v>
      </c>
      <c r="B760" t="s">
        <v>1382</v>
      </c>
      <c r="C760">
        <v>41</v>
      </c>
      <c r="D760" s="8" t="str" cm="1">
        <f t="array" ref="D760">_xlfn.IFS(C760&lt;=2, "Infant", C760&lt;=11, "Child", C760&lt;=17, "Adolescent", C760&lt;=44, "Young Adult", C760&lt;=64, "Middle Aged", C760&lt;=84,"Young Old", C760&gt;=85,"Oldest Old")</f>
        <v>Young Adult</v>
      </c>
      <c r="E760" t="s">
        <v>12</v>
      </c>
      <c r="F760" s="4">
        <v>45484</v>
      </c>
      <c r="G760" s="4">
        <v>45485</v>
      </c>
      <c r="H760" s="7">
        <f t="shared" si="33"/>
        <v>1</v>
      </c>
      <c r="I760" t="s">
        <v>31</v>
      </c>
      <c r="J760" t="s">
        <v>53</v>
      </c>
      <c r="K760" s="2">
        <v>783.53</v>
      </c>
      <c r="L760" s="9">
        <v>0.5</v>
      </c>
      <c r="M760" s="15">
        <f t="shared" si="34"/>
        <v>391.76499999999999</v>
      </c>
      <c r="N760" s="15">
        <f t="shared" si="35"/>
        <v>391.76499999999999</v>
      </c>
      <c r="O760" t="s">
        <v>15</v>
      </c>
    </row>
    <row r="761" spans="1:15" hidden="1" x14ac:dyDescent="0.35">
      <c r="A761" t="s">
        <v>1383</v>
      </c>
      <c r="B761" t="s">
        <v>686</v>
      </c>
      <c r="C761">
        <v>50</v>
      </c>
      <c r="D761" s="8" t="str" cm="1">
        <f t="array" ref="D761">_xlfn.IFS(C761&lt;=2, "Infant", C761&lt;=11, "Child", C761&lt;=17, "Adolescent", C761&lt;=44, "Young Adult", C761&lt;=64, "Middle Aged", C761&lt;=84,"Young Old", C761&gt;=85,"Oldest Old")</f>
        <v>Middle Aged</v>
      </c>
      <c r="E761" t="s">
        <v>12</v>
      </c>
      <c r="F761" s="4">
        <v>45702</v>
      </c>
      <c r="G761" s="4">
        <v>45703</v>
      </c>
      <c r="H761" s="7">
        <f t="shared" si="33"/>
        <v>1</v>
      </c>
      <c r="I761" t="s">
        <v>31</v>
      </c>
      <c r="J761" t="s">
        <v>35</v>
      </c>
      <c r="K761" s="2">
        <v>644.33000000000004</v>
      </c>
      <c r="L761" s="9">
        <v>0.5</v>
      </c>
      <c r="M761" s="15">
        <f t="shared" si="34"/>
        <v>322.16500000000002</v>
      </c>
      <c r="N761" s="15">
        <f t="shared" si="35"/>
        <v>322.16500000000002</v>
      </c>
      <c r="O761" t="s">
        <v>25</v>
      </c>
    </row>
    <row r="762" spans="1:15" hidden="1" x14ac:dyDescent="0.35">
      <c r="A762" t="s">
        <v>1384</v>
      </c>
      <c r="B762" t="s">
        <v>1385</v>
      </c>
      <c r="C762">
        <v>64</v>
      </c>
      <c r="D762" s="8" t="str" cm="1">
        <f t="array" ref="D762">_xlfn.IFS(C762&lt;=2, "Infant", C762&lt;=11, "Child", C762&lt;=17, "Adolescent", C762&lt;=44, "Young Adult", C762&lt;=64, "Middle Aged", C762&lt;=84,"Young Old", C762&gt;=85,"Oldest Old")</f>
        <v>Middle Aged</v>
      </c>
      <c r="E762" t="s">
        <v>12</v>
      </c>
      <c r="F762" s="4">
        <v>45986</v>
      </c>
      <c r="G762" s="4">
        <v>45987</v>
      </c>
      <c r="H762" s="7">
        <f t="shared" si="33"/>
        <v>1</v>
      </c>
      <c r="I762" t="s">
        <v>23</v>
      </c>
      <c r="J762" t="s">
        <v>24</v>
      </c>
      <c r="K762" s="2">
        <v>803.78</v>
      </c>
      <c r="L762" s="9">
        <v>0.9</v>
      </c>
      <c r="M762" s="15">
        <f t="shared" si="34"/>
        <v>723.40200000000004</v>
      </c>
      <c r="N762" s="15">
        <f t="shared" si="35"/>
        <v>80.377999999999929</v>
      </c>
      <c r="O762" t="s">
        <v>15</v>
      </c>
    </row>
    <row r="763" spans="1:15" hidden="1" x14ac:dyDescent="0.35">
      <c r="A763" t="s">
        <v>1386</v>
      </c>
      <c r="B763" t="s">
        <v>1387</v>
      </c>
      <c r="C763">
        <v>32</v>
      </c>
      <c r="D763" s="8" t="str" cm="1">
        <f t="array" ref="D763">_xlfn.IFS(C763&lt;=2, "Infant", C763&lt;=11, "Child", C763&lt;=17, "Adolescent", C763&lt;=44, "Young Adult", C763&lt;=64, "Middle Aged", C763&lt;=84,"Young Old", C763&gt;=85,"Oldest Old")</f>
        <v>Young Adult</v>
      </c>
      <c r="E763" t="s">
        <v>12</v>
      </c>
      <c r="F763" s="4">
        <v>45909</v>
      </c>
      <c r="G763" s="4">
        <v>45916</v>
      </c>
      <c r="H763" s="7">
        <f t="shared" si="33"/>
        <v>7</v>
      </c>
      <c r="I763" t="s">
        <v>31</v>
      </c>
      <c r="J763" t="s">
        <v>87</v>
      </c>
      <c r="K763" s="2">
        <v>7286.69</v>
      </c>
      <c r="L763" s="9">
        <v>0.8</v>
      </c>
      <c r="M763" s="15">
        <f t="shared" si="34"/>
        <v>5829.3519999999999</v>
      </c>
      <c r="N763" s="15">
        <f t="shared" si="35"/>
        <v>1457.3379999999997</v>
      </c>
      <c r="O763" t="s">
        <v>15</v>
      </c>
    </row>
    <row r="764" spans="1:15" hidden="1" x14ac:dyDescent="0.35">
      <c r="A764" t="s">
        <v>1388</v>
      </c>
      <c r="B764" t="s">
        <v>1389</v>
      </c>
      <c r="C764">
        <v>47</v>
      </c>
      <c r="D764" s="8" t="str" cm="1">
        <f t="array" ref="D764">_xlfn.IFS(C764&lt;=2, "Infant", C764&lt;=11, "Child", C764&lt;=17, "Adolescent", C764&lt;=44, "Young Adult", C764&lt;=64, "Middle Aged", C764&lt;=84,"Young Old", C764&gt;=85,"Oldest Old")</f>
        <v>Middle Aged</v>
      </c>
      <c r="E764" t="s">
        <v>18</v>
      </c>
      <c r="F764" s="4">
        <v>45597</v>
      </c>
      <c r="G764" s="4">
        <v>45600</v>
      </c>
      <c r="H764" s="7">
        <f t="shared" si="33"/>
        <v>3</v>
      </c>
      <c r="I764" t="s">
        <v>23</v>
      </c>
      <c r="J764" t="s">
        <v>333</v>
      </c>
      <c r="K764" s="2">
        <v>6520.03</v>
      </c>
      <c r="L764" s="9">
        <v>0.8</v>
      </c>
      <c r="M764" s="15">
        <f t="shared" si="34"/>
        <v>5216.0240000000003</v>
      </c>
      <c r="N764" s="15">
        <f t="shared" si="35"/>
        <v>1304.0059999999994</v>
      </c>
      <c r="O764" t="s">
        <v>15</v>
      </c>
    </row>
    <row r="765" spans="1:15" hidden="1" x14ac:dyDescent="0.35">
      <c r="A765" t="s">
        <v>1390</v>
      </c>
      <c r="B765" t="s">
        <v>106</v>
      </c>
      <c r="C765">
        <v>46</v>
      </c>
      <c r="D765" s="8" t="str" cm="1">
        <f t="array" ref="D765">_xlfn.IFS(C765&lt;=2, "Infant", C765&lt;=11, "Child", C765&lt;=17, "Adolescent", C765&lt;=44, "Young Adult", C765&lt;=64, "Middle Aged", C765&lt;=84,"Young Old", C765&gt;=85,"Oldest Old")</f>
        <v>Middle Aged</v>
      </c>
      <c r="E765" t="s">
        <v>18</v>
      </c>
      <c r="F765" s="4">
        <v>45992</v>
      </c>
      <c r="G765" s="4">
        <v>45993</v>
      </c>
      <c r="H765" s="7">
        <f t="shared" si="33"/>
        <v>1</v>
      </c>
      <c r="I765" t="s">
        <v>31</v>
      </c>
      <c r="J765" t="s">
        <v>35</v>
      </c>
      <c r="K765" s="2">
        <v>1101.07</v>
      </c>
      <c r="L765" s="9">
        <v>0.7</v>
      </c>
      <c r="M765" s="15">
        <f t="shared" si="34"/>
        <v>770.74899999999991</v>
      </c>
      <c r="N765" s="15">
        <f t="shared" si="35"/>
        <v>330.32100000000003</v>
      </c>
      <c r="O765" t="s">
        <v>20</v>
      </c>
    </row>
    <row r="766" spans="1:15" hidden="1" x14ac:dyDescent="0.35">
      <c r="A766" t="s">
        <v>1391</v>
      </c>
      <c r="B766" t="s">
        <v>523</v>
      </c>
      <c r="C766">
        <v>48</v>
      </c>
      <c r="D766" s="8" t="str" cm="1">
        <f t="array" ref="D766">_xlfn.IFS(C766&lt;=2, "Infant", C766&lt;=11, "Child", C766&lt;=17, "Adolescent", C766&lt;=44, "Young Adult", C766&lt;=64, "Middle Aged", C766&lt;=84,"Young Old", C766&gt;=85,"Oldest Old")</f>
        <v>Middle Aged</v>
      </c>
      <c r="E766" t="s">
        <v>18</v>
      </c>
      <c r="F766" s="4">
        <v>45904</v>
      </c>
      <c r="G766" s="4">
        <v>45914</v>
      </c>
      <c r="H766" s="7">
        <f t="shared" si="33"/>
        <v>10</v>
      </c>
      <c r="I766" t="s">
        <v>13</v>
      </c>
      <c r="J766" t="s">
        <v>19</v>
      </c>
      <c r="K766" s="2">
        <v>15930.98</v>
      </c>
      <c r="L766" s="9">
        <v>0.8</v>
      </c>
      <c r="M766" s="15">
        <f t="shared" si="34"/>
        <v>12744.784</v>
      </c>
      <c r="N766" s="15">
        <f t="shared" si="35"/>
        <v>3186.1959999999999</v>
      </c>
      <c r="O766" t="s">
        <v>15</v>
      </c>
    </row>
    <row r="767" spans="1:15" hidden="1" x14ac:dyDescent="0.35">
      <c r="A767" t="s">
        <v>1392</v>
      </c>
      <c r="B767" t="s">
        <v>1393</v>
      </c>
      <c r="C767">
        <v>47</v>
      </c>
      <c r="D767" s="8" t="str" cm="1">
        <f t="array" ref="D767">_xlfn.IFS(C767&lt;=2, "Infant", C767&lt;=11, "Child", C767&lt;=17, "Adolescent", C767&lt;=44, "Young Adult", C767&lt;=64, "Middle Aged", C767&lt;=84,"Young Old", C767&gt;=85,"Oldest Old")</f>
        <v>Middle Aged</v>
      </c>
      <c r="E767" t="s">
        <v>12</v>
      </c>
      <c r="F767" s="4">
        <v>45557</v>
      </c>
      <c r="G767" s="4">
        <v>45564</v>
      </c>
      <c r="H767" s="7">
        <f t="shared" si="33"/>
        <v>7</v>
      </c>
      <c r="I767" t="s">
        <v>31</v>
      </c>
      <c r="J767" t="s">
        <v>114</v>
      </c>
      <c r="K767" s="2">
        <v>6394.95</v>
      </c>
      <c r="L767" s="9">
        <v>1</v>
      </c>
      <c r="M767" s="15">
        <f t="shared" si="34"/>
        <v>6394.95</v>
      </c>
      <c r="N767" s="15">
        <f t="shared" si="35"/>
        <v>0</v>
      </c>
      <c r="O767" t="s">
        <v>25</v>
      </c>
    </row>
    <row r="768" spans="1:15" hidden="1" x14ac:dyDescent="0.35">
      <c r="A768" t="s">
        <v>1394</v>
      </c>
      <c r="B768" t="s">
        <v>141</v>
      </c>
      <c r="C768">
        <v>18</v>
      </c>
      <c r="D768" s="8" t="str" cm="1">
        <f t="array" ref="D768">_xlfn.IFS(C768&lt;=2, "Infant", C768&lt;=11, "Child", C768&lt;=17, "Adolescent", C768&lt;=44, "Young Adult", C768&lt;=64, "Middle Aged", C768&lt;=84,"Young Old", C768&gt;=85,"Oldest Old")</f>
        <v>Young Adult</v>
      </c>
      <c r="E768" t="s">
        <v>12</v>
      </c>
      <c r="F768" s="4">
        <v>45292</v>
      </c>
      <c r="G768" s="4">
        <v>45294</v>
      </c>
      <c r="H768" s="7">
        <f t="shared" si="33"/>
        <v>2</v>
      </c>
      <c r="I768" t="s">
        <v>31</v>
      </c>
      <c r="J768" t="s">
        <v>44</v>
      </c>
      <c r="K768" s="2">
        <v>2803.03</v>
      </c>
      <c r="L768" s="9">
        <v>0.9</v>
      </c>
      <c r="M768" s="15">
        <f t="shared" si="34"/>
        <v>2522.7270000000003</v>
      </c>
      <c r="N768" s="15">
        <f t="shared" si="35"/>
        <v>280.30299999999988</v>
      </c>
      <c r="O768" t="s">
        <v>15</v>
      </c>
    </row>
    <row r="769" spans="1:15" hidden="1" x14ac:dyDescent="0.35">
      <c r="A769" t="s">
        <v>1395</v>
      </c>
      <c r="B769" t="s">
        <v>1026</v>
      </c>
      <c r="C769">
        <v>41</v>
      </c>
      <c r="D769" s="8" t="str" cm="1">
        <f t="array" ref="D769">_xlfn.IFS(C769&lt;=2, "Infant", C769&lt;=11, "Child", C769&lt;=17, "Adolescent", C769&lt;=44, "Young Adult", C769&lt;=64, "Middle Aged", C769&lt;=84,"Young Old", C769&gt;=85,"Oldest Old")</f>
        <v>Young Adult</v>
      </c>
      <c r="E769" t="s">
        <v>12</v>
      </c>
      <c r="F769" s="4">
        <v>45316</v>
      </c>
      <c r="G769" s="4">
        <v>45319</v>
      </c>
      <c r="H769" s="7">
        <f t="shared" si="33"/>
        <v>3</v>
      </c>
      <c r="I769" t="s">
        <v>70</v>
      </c>
      <c r="J769" t="s">
        <v>71</v>
      </c>
      <c r="K769" s="2">
        <v>4689.5200000000004</v>
      </c>
      <c r="L769" s="9">
        <v>0.8</v>
      </c>
      <c r="M769" s="15">
        <f t="shared" si="34"/>
        <v>3751.6160000000004</v>
      </c>
      <c r="N769" s="15">
        <f t="shared" si="35"/>
        <v>937.904</v>
      </c>
      <c r="O769" t="s">
        <v>15</v>
      </c>
    </row>
    <row r="770" spans="1:15" hidden="1" x14ac:dyDescent="0.35">
      <c r="A770" t="s">
        <v>1396</v>
      </c>
      <c r="B770" t="s">
        <v>1397</v>
      </c>
      <c r="C770">
        <v>67</v>
      </c>
      <c r="D770" s="8" t="str" cm="1">
        <f t="array" ref="D770">_xlfn.IFS(C770&lt;=2, "Infant", C770&lt;=11, "Child", C770&lt;=17, "Adolescent", C770&lt;=44, "Young Adult", C770&lt;=64, "Middle Aged", C770&lt;=84,"Young Old", C770&gt;=85,"Oldest Old")</f>
        <v>Young Old</v>
      </c>
      <c r="E770" t="s">
        <v>18</v>
      </c>
      <c r="F770" s="4">
        <v>45514</v>
      </c>
      <c r="G770" s="4">
        <v>45524</v>
      </c>
      <c r="H770" s="7">
        <f t="shared" si="33"/>
        <v>10</v>
      </c>
      <c r="I770" t="s">
        <v>70</v>
      </c>
      <c r="J770" t="s">
        <v>295</v>
      </c>
      <c r="K770" s="2">
        <v>13724.66</v>
      </c>
      <c r="L770" s="9">
        <v>0.8</v>
      </c>
      <c r="M770" s="15">
        <f t="shared" si="34"/>
        <v>10979.728000000001</v>
      </c>
      <c r="N770" s="15">
        <f t="shared" si="35"/>
        <v>2744.9319999999989</v>
      </c>
      <c r="O770" t="s">
        <v>15</v>
      </c>
    </row>
    <row r="771" spans="1:15" hidden="1" x14ac:dyDescent="0.35">
      <c r="A771" t="s">
        <v>1398</v>
      </c>
      <c r="B771" t="s">
        <v>1399</v>
      </c>
      <c r="C771">
        <v>74</v>
      </c>
      <c r="D771" s="8" t="str" cm="1">
        <f t="array" ref="D771">_xlfn.IFS(C771&lt;=2, "Infant", C771&lt;=11, "Child", C771&lt;=17, "Adolescent", C771&lt;=44, "Young Adult", C771&lt;=64, "Middle Aged", C771&lt;=84,"Young Old", C771&gt;=85,"Oldest Old")</f>
        <v>Young Old</v>
      </c>
      <c r="E771" t="s">
        <v>12</v>
      </c>
      <c r="F771" s="4">
        <v>45708</v>
      </c>
      <c r="G771" s="4">
        <v>45712</v>
      </c>
      <c r="H771" s="7">
        <f t="shared" ref="H771:H834" si="36">DATEDIF(F771,G771,"D")</f>
        <v>4</v>
      </c>
      <c r="I771" t="s">
        <v>13</v>
      </c>
      <c r="J771" t="s">
        <v>38</v>
      </c>
      <c r="K771" s="2">
        <v>9130.48</v>
      </c>
      <c r="L771" s="9">
        <v>0.6</v>
      </c>
      <c r="M771" s="15">
        <f t="shared" ref="M771:M834" si="37">L771*K771</f>
        <v>5478.2879999999996</v>
      </c>
      <c r="N771" s="15">
        <f t="shared" ref="N771:N834" si="38">K771-M771</f>
        <v>3652.192</v>
      </c>
      <c r="O771" t="s">
        <v>25</v>
      </c>
    </row>
    <row r="772" spans="1:15" hidden="1" x14ac:dyDescent="0.35">
      <c r="A772" t="s">
        <v>1400</v>
      </c>
      <c r="B772" t="s">
        <v>1206</v>
      </c>
      <c r="C772">
        <v>32</v>
      </c>
      <c r="D772" s="8" t="str" cm="1">
        <f t="array" ref="D772">_xlfn.IFS(C772&lt;=2, "Infant", C772&lt;=11, "Child", C772&lt;=17, "Adolescent", C772&lt;=44, "Young Adult", C772&lt;=64, "Middle Aged", C772&lt;=84,"Young Old", C772&gt;=85,"Oldest Old")</f>
        <v>Young Adult</v>
      </c>
      <c r="E772" t="s">
        <v>18</v>
      </c>
      <c r="F772" s="4">
        <v>45402</v>
      </c>
      <c r="G772" s="4">
        <v>45403</v>
      </c>
      <c r="H772" s="7">
        <f t="shared" si="36"/>
        <v>1</v>
      </c>
      <c r="I772" t="s">
        <v>23</v>
      </c>
      <c r="J772" t="s">
        <v>333</v>
      </c>
      <c r="K772" s="2">
        <v>2383.8000000000002</v>
      </c>
      <c r="L772" s="9">
        <v>0.7</v>
      </c>
      <c r="M772" s="15">
        <f t="shared" si="37"/>
        <v>1668.66</v>
      </c>
      <c r="N772" s="15">
        <f t="shared" si="38"/>
        <v>715.1400000000001</v>
      </c>
      <c r="O772" t="s">
        <v>15</v>
      </c>
    </row>
    <row r="773" spans="1:15" hidden="1" x14ac:dyDescent="0.35">
      <c r="A773" t="s">
        <v>1401</v>
      </c>
      <c r="B773" t="s">
        <v>1402</v>
      </c>
      <c r="C773">
        <v>51</v>
      </c>
      <c r="D773" s="8" t="str" cm="1">
        <f t="array" ref="D773">_xlfn.IFS(C773&lt;=2, "Infant", C773&lt;=11, "Child", C773&lt;=17, "Adolescent", C773&lt;=44, "Young Adult", C773&lt;=64, "Middle Aged", C773&lt;=84,"Young Old", C773&gt;=85,"Oldest Old")</f>
        <v>Middle Aged</v>
      </c>
      <c r="E773" t="s">
        <v>18</v>
      </c>
      <c r="F773" s="4">
        <v>45297</v>
      </c>
      <c r="G773" s="4">
        <v>45300</v>
      </c>
      <c r="H773" s="7">
        <f t="shared" si="36"/>
        <v>3</v>
      </c>
      <c r="I773" t="s">
        <v>31</v>
      </c>
      <c r="J773" t="s">
        <v>114</v>
      </c>
      <c r="K773" s="2">
        <v>1901.75</v>
      </c>
      <c r="L773" s="9">
        <v>0.7</v>
      </c>
      <c r="M773" s="15">
        <f t="shared" si="37"/>
        <v>1331.2249999999999</v>
      </c>
      <c r="N773" s="15">
        <f t="shared" si="38"/>
        <v>570.52500000000009</v>
      </c>
      <c r="O773" t="s">
        <v>20</v>
      </c>
    </row>
    <row r="774" spans="1:15" hidden="1" x14ac:dyDescent="0.35">
      <c r="A774" t="s">
        <v>1403</v>
      </c>
      <c r="B774" t="s">
        <v>846</v>
      </c>
      <c r="C774">
        <v>55</v>
      </c>
      <c r="D774" s="8" t="str" cm="1">
        <f t="array" ref="D774">_xlfn.IFS(C774&lt;=2, "Infant", C774&lt;=11, "Child", C774&lt;=17, "Adolescent", C774&lt;=44, "Young Adult", C774&lt;=64, "Middle Aged", C774&lt;=84,"Young Old", C774&gt;=85,"Oldest Old")</f>
        <v>Middle Aged</v>
      </c>
      <c r="E774" t="s">
        <v>12</v>
      </c>
      <c r="F774" s="4">
        <v>45832</v>
      </c>
      <c r="G774" s="4">
        <v>45835</v>
      </c>
      <c r="H774" s="7">
        <f t="shared" si="36"/>
        <v>3</v>
      </c>
      <c r="I774" t="s">
        <v>23</v>
      </c>
      <c r="J774" t="s">
        <v>28</v>
      </c>
      <c r="K774" s="2">
        <v>5558.16</v>
      </c>
      <c r="L774" s="9">
        <v>0.6</v>
      </c>
      <c r="M774" s="15">
        <f t="shared" si="37"/>
        <v>3334.8959999999997</v>
      </c>
      <c r="N774" s="15">
        <f t="shared" si="38"/>
        <v>2223.2640000000001</v>
      </c>
      <c r="O774" t="s">
        <v>15</v>
      </c>
    </row>
    <row r="775" spans="1:15" hidden="1" x14ac:dyDescent="0.35">
      <c r="A775" t="s">
        <v>1404</v>
      </c>
      <c r="B775" t="s">
        <v>1405</v>
      </c>
      <c r="C775">
        <v>34</v>
      </c>
      <c r="D775" s="8" t="str" cm="1">
        <f t="array" ref="D775">_xlfn.IFS(C775&lt;=2, "Infant", C775&lt;=11, "Child", C775&lt;=17, "Adolescent", C775&lt;=44, "Young Adult", C775&lt;=64, "Middle Aged", C775&lt;=84,"Young Old", C775&gt;=85,"Oldest Old")</f>
        <v>Young Adult</v>
      </c>
      <c r="E775" t="s">
        <v>12</v>
      </c>
      <c r="F775" s="4">
        <v>45805</v>
      </c>
      <c r="G775" s="4">
        <v>45812</v>
      </c>
      <c r="H775" s="7">
        <f t="shared" si="36"/>
        <v>7</v>
      </c>
      <c r="I775" t="s">
        <v>31</v>
      </c>
      <c r="J775" t="s">
        <v>87</v>
      </c>
      <c r="K775" s="2">
        <v>4500.7</v>
      </c>
      <c r="L775" s="9">
        <v>0.9</v>
      </c>
      <c r="M775" s="15">
        <f t="shared" si="37"/>
        <v>4050.63</v>
      </c>
      <c r="N775" s="15">
        <f t="shared" si="38"/>
        <v>450.06999999999971</v>
      </c>
      <c r="O775" t="s">
        <v>15</v>
      </c>
    </row>
    <row r="776" spans="1:15" hidden="1" x14ac:dyDescent="0.35">
      <c r="A776" t="s">
        <v>1406</v>
      </c>
      <c r="B776" t="s">
        <v>1407</v>
      </c>
      <c r="C776">
        <v>81</v>
      </c>
      <c r="D776" s="8" t="str" cm="1">
        <f t="array" ref="D776">_xlfn.IFS(C776&lt;=2, "Infant", C776&lt;=11, "Child", C776&lt;=17, "Adolescent", C776&lt;=44, "Young Adult", C776&lt;=64, "Middle Aged", C776&lt;=84,"Young Old", C776&gt;=85,"Oldest Old")</f>
        <v>Young Old</v>
      </c>
      <c r="E776" t="s">
        <v>12</v>
      </c>
      <c r="F776" s="4">
        <v>45699</v>
      </c>
      <c r="G776" s="4">
        <v>45704</v>
      </c>
      <c r="H776" s="7">
        <f t="shared" si="36"/>
        <v>5</v>
      </c>
      <c r="I776" t="s">
        <v>13</v>
      </c>
      <c r="J776" t="s">
        <v>38</v>
      </c>
      <c r="K776" s="2">
        <v>9036.9</v>
      </c>
      <c r="L776" s="9">
        <v>0.5</v>
      </c>
      <c r="M776" s="15">
        <f t="shared" si="37"/>
        <v>4518.45</v>
      </c>
      <c r="N776" s="15">
        <f t="shared" si="38"/>
        <v>4518.45</v>
      </c>
      <c r="O776" t="s">
        <v>20</v>
      </c>
    </row>
    <row r="777" spans="1:15" hidden="1" x14ac:dyDescent="0.35">
      <c r="A777" t="s">
        <v>1408</v>
      </c>
      <c r="B777" t="s">
        <v>1409</v>
      </c>
      <c r="C777">
        <v>83</v>
      </c>
      <c r="D777" s="8" t="str" cm="1">
        <f t="array" ref="D777">_xlfn.IFS(C777&lt;=2, "Infant", C777&lt;=11, "Child", C777&lt;=17, "Adolescent", C777&lt;=44, "Young Adult", C777&lt;=64, "Middle Aged", C777&lt;=84,"Young Old", C777&gt;=85,"Oldest Old")</f>
        <v>Young Old</v>
      </c>
      <c r="E777" t="s">
        <v>12</v>
      </c>
      <c r="F777" s="4">
        <v>45827</v>
      </c>
      <c r="G777" s="4">
        <v>45832</v>
      </c>
      <c r="H777" s="7">
        <f t="shared" si="36"/>
        <v>5</v>
      </c>
      <c r="I777" t="s">
        <v>31</v>
      </c>
      <c r="J777" t="s">
        <v>234</v>
      </c>
      <c r="K777" s="2">
        <v>4404.2299999999996</v>
      </c>
      <c r="L777" s="9">
        <v>0.5</v>
      </c>
      <c r="M777" s="15">
        <f t="shared" si="37"/>
        <v>2202.1149999999998</v>
      </c>
      <c r="N777" s="15">
        <f t="shared" si="38"/>
        <v>2202.1149999999998</v>
      </c>
      <c r="O777" t="s">
        <v>25</v>
      </c>
    </row>
    <row r="778" spans="1:15" hidden="1" x14ac:dyDescent="0.35">
      <c r="A778" t="s">
        <v>1410</v>
      </c>
      <c r="B778" t="s">
        <v>1115</v>
      </c>
      <c r="C778">
        <v>51</v>
      </c>
      <c r="D778" s="8" t="str" cm="1">
        <f t="array" ref="D778">_xlfn.IFS(C778&lt;=2, "Infant", C778&lt;=11, "Child", C778&lt;=17, "Adolescent", C778&lt;=44, "Young Adult", C778&lt;=64, "Middle Aged", C778&lt;=84,"Young Old", C778&gt;=85,"Oldest Old")</f>
        <v>Middle Aged</v>
      </c>
      <c r="E778" t="s">
        <v>12</v>
      </c>
      <c r="F778" s="4">
        <v>45465</v>
      </c>
      <c r="G778" s="4">
        <v>45470</v>
      </c>
      <c r="H778" s="7">
        <f t="shared" si="36"/>
        <v>5</v>
      </c>
      <c r="I778" t="s">
        <v>31</v>
      </c>
      <c r="J778" t="s">
        <v>114</v>
      </c>
      <c r="K778" s="2">
        <v>4907.47</v>
      </c>
      <c r="L778" s="9">
        <v>0.8</v>
      </c>
      <c r="M778" s="15">
        <f t="shared" si="37"/>
        <v>3925.9760000000006</v>
      </c>
      <c r="N778" s="15">
        <f t="shared" si="38"/>
        <v>981.49399999999969</v>
      </c>
      <c r="O778" t="s">
        <v>15</v>
      </c>
    </row>
    <row r="779" spans="1:15" hidden="1" x14ac:dyDescent="0.35">
      <c r="A779" t="s">
        <v>1411</v>
      </c>
      <c r="B779" t="s">
        <v>1412</v>
      </c>
      <c r="C779">
        <v>71</v>
      </c>
      <c r="D779" s="8" t="str" cm="1">
        <f t="array" ref="D779">_xlfn.IFS(C779&lt;=2, "Infant", C779&lt;=11, "Child", C779&lt;=17, "Adolescent", C779&lt;=44, "Young Adult", C779&lt;=64, "Middle Aged", C779&lt;=84,"Young Old", C779&gt;=85,"Oldest Old")</f>
        <v>Young Old</v>
      </c>
      <c r="E779" t="s">
        <v>12</v>
      </c>
      <c r="F779" s="4">
        <v>45731</v>
      </c>
      <c r="G779" s="4">
        <v>45741</v>
      </c>
      <c r="H779" s="7">
        <f t="shared" si="36"/>
        <v>10</v>
      </c>
      <c r="I779" t="s">
        <v>13</v>
      </c>
      <c r="J779" t="s">
        <v>14</v>
      </c>
      <c r="K779" s="2">
        <v>26768.21</v>
      </c>
      <c r="L779" s="9">
        <v>1</v>
      </c>
      <c r="M779" s="15">
        <f t="shared" si="37"/>
        <v>26768.21</v>
      </c>
      <c r="N779" s="15">
        <f t="shared" si="38"/>
        <v>0</v>
      </c>
      <c r="O779" t="s">
        <v>25</v>
      </c>
    </row>
    <row r="780" spans="1:15" hidden="1" x14ac:dyDescent="0.35">
      <c r="A780" t="s">
        <v>1413</v>
      </c>
      <c r="B780" t="s">
        <v>1414</v>
      </c>
      <c r="C780">
        <v>85</v>
      </c>
      <c r="D780" s="8" t="str" cm="1">
        <f t="array" ref="D780">_xlfn.IFS(C780&lt;=2, "Infant", C780&lt;=11, "Child", C780&lt;=17, "Adolescent", C780&lt;=44, "Young Adult", C780&lt;=64, "Middle Aged", C780&lt;=84,"Young Old", C780&gt;=85,"Oldest Old")</f>
        <v>Oldest Old</v>
      </c>
      <c r="E780" t="s">
        <v>18</v>
      </c>
      <c r="F780" s="4">
        <v>45811</v>
      </c>
      <c r="G780" s="4">
        <v>45815</v>
      </c>
      <c r="H780" s="7">
        <f t="shared" si="36"/>
        <v>4</v>
      </c>
      <c r="I780" t="s">
        <v>31</v>
      </c>
      <c r="J780" t="s">
        <v>44</v>
      </c>
      <c r="K780" s="2">
        <v>2615.96</v>
      </c>
      <c r="L780" s="9">
        <v>1</v>
      </c>
      <c r="M780" s="15">
        <f t="shared" si="37"/>
        <v>2615.96</v>
      </c>
      <c r="N780" s="15">
        <f t="shared" si="38"/>
        <v>0</v>
      </c>
      <c r="O780" t="s">
        <v>15</v>
      </c>
    </row>
    <row r="781" spans="1:15" hidden="1" x14ac:dyDescent="0.35">
      <c r="A781" t="s">
        <v>1415</v>
      </c>
      <c r="B781" t="s">
        <v>1416</v>
      </c>
      <c r="C781">
        <v>74</v>
      </c>
      <c r="D781" s="8" t="str" cm="1">
        <f t="array" ref="D781">_xlfn.IFS(C781&lt;=2, "Infant", C781&lt;=11, "Child", C781&lt;=17, "Adolescent", C781&lt;=44, "Young Adult", C781&lt;=64, "Middle Aged", C781&lt;=84,"Young Old", C781&gt;=85,"Oldest Old")</f>
        <v>Young Old</v>
      </c>
      <c r="E781" t="s">
        <v>12</v>
      </c>
      <c r="F781" s="4">
        <v>46008</v>
      </c>
      <c r="G781" s="4">
        <v>46014</v>
      </c>
      <c r="H781" s="7">
        <f t="shared" si="36"/>
        <v>6</v>
      </c>
      <c r="I781" t="s">
        <v>31</v>
      </c>
      <c r="J781" t="s">
        <v>234</v>
      </c>
      <c r="K781" s="2">
        <v>7371.54</v>
      </c>
      <c r="L781" s="9">
        <v>0.7</v>
      </c>
      <c r="M781" s="15">
        <f t="shared" si="37"/>
        <v>5160.0779999999995</v>
      </c>
      <c r="N781" s="15">
        <f t="shared" si="38"/>
        <v>2211.4620000000004</v>
      </c>
      <c r="O781" t="s">
        <v>25</v>
      </c>
    </row>
    <row r="782" spans="1:15" hidden="1" x14ac:dyDescent="0.35">
      <c r="A782" t="s">
        <v>1417</v>
      </c>
      <c r="B782" t="s">
        <v>1418</v>
      </c>
      <c r="C782">
        <v>74</v>
      </c>
      <c r="D782" s="8" t="str" cm="1">
        <f t="array" ref="D782">_xlfn.IFS(C782&lt;=2, "Infant", C782&lt;=11, "Child", C782&lt;=17, "Adolescent", C782&lt;=44, "Young Adult", C782&lt;=64, "Middle Aged", C782&lt;=84,"Young Old", C782&gt;=85,"Oldest Old")</f>
        <v>Young Old</v>
      </c>
      <c r="E782" t="s">
        <v>18</v>
      </c>
      <c r="F782" s="4">
        <v>45657</v>
      </c>
      <c r="G782" s="4">
        <v>45658</v>
      </c>
      <c r="H782" s="7">
        <f t="shared" si="36"/>
        <v>1</v>
      </c>
      <c r="I782" t="s">
        <v>23</v>
      </c>
      <c r="J782" t="s">
        <v>204</v>
      </c>
      <c r="K782" s="2">
        <v>1984.12</v>
      </c>
      <c r="L782" s="9">
        <v>0.7</v>
      </c>
      <c r="M782" s="15">
        <f t="shared" si="37"/>
        <v>1388.8839999999998</v>
      </c>
      <c r="N782" s="15">
        <f t="shared" si="38"/>
        <v>595.2360000000001</v>
      </c>
      <c r="O782" t="s">
        <v>20</v>
      </c>
    </row>
    <row r="783" spans="1:15" hidden="1" x14ac:dyDescent="0.35">
      <c r="A783" t="s">
        <v>1419</v>
      </c>
      <c r="B783" t="s">
        <v>1182</v>
      </c>
      <c r="C783">
        <v>42</v>
      </c>
      <c r="D783" s="8" t="str" cm="1">
        <f t="array" ref="D783">_xlfn.IFS(C783&lt;=2, "Infant", C783&lt;=11, "Child", C783&lt;=17, "Adolescent", C783&lt;=44, "Young Adult", C783&lt;=64, "Middle Aged", C783&lt;=84,"Young Old", C783&gt;=85,"Oldest Old")</f>
        <v>Young Adult</v>
      </c>
      <c r="E783" t="s">
        <v>18</v>
      </c>
      <c r="F783" s="4">
        <v>45755</v>
      </c>
      <c r="G783" s="4">
        <v>45761</v>
      </c>
      <c r="H783" s="7">
        <f t="shared" si="36"/>
        <v>6</v>
      </c>
      <c r="I783" t="s">
        <v>70</v>
      </c>
      <c r="J783" t="s">
        <v>94</v>
      </c>
      <c r="K783" s="2">
        <v>15265.35</v>
      </c>
      <c r="L783" s="9">
        <v>1</v>
      </c>
      <c r="M783" s="15">
        <f t="shared" si="37"/>
        <v>15265.35</v>
      </c>
      <c r="N783" s="15">
        <f t="shared" si="38"/>
        <v>0</v>
      </c>
      <c r="O783" t="s">
        <v>15</v>
      </c>
    </row>
    <row r="784" spans="1:15" hidden="1" x14ac:dyDescent="0.35">
      <c r="A784" t="s">
        <v>1420</v>
      </c>
      <c r="B784" t="s">
        <v>1421</v>
      </c>
      <c r="C784">
        <v>43</v>
      </c>
      <c r="D784" s="8" t="str" cm="1">
        <f t="array" ref="D784">_xlfn.IFS(C784&lt;=2, "Infant", C784&lt;=11, "Child", C784&lt;=17, "Adolescent", C784&lt;=44, "Young Adult", C784&lt;=64, "Middle Aged", C784&lt;=84,"Young Old", C784&gt;=85,"Oldest Old")</f>
        <v>Young Adult</v>
      </c>
      <c r="E784" t="s">
        <v>12</v>
      </c>
      <c r="F784" s="4">
        <v>45574</v>
      </c>
      <c r="G784" s="4">
        <v>45585</v>
      </c>
      <c r="H784" s="7">
        <f t="shared" si="36"/>
        <v>11</v>
      </c>
      <c r="I784" t="s">
        <v>70</v>
      </c>
      <c r="J784" t="s">
        <v>295</v>
      </c>
      <c r="K784" s="2">
        <v>24895.77</v>
      </c>
      <c r="L784" s="9">
        <v>0.8</v>
      </c>
      <c r="M784" s="15">
        <f t="shared" si="37"/>
        <v>19916.616000000002</v>
      </c>
      <c r="N784" s="15">
        <f t="shared" si="38"/>
        <v>4979.1539999999986</v>
      </c>
      <c r="O784" t="s">
        <v>15</v>
      </c>
    </row>
    <row r="785" spans="1:15" hidden="1" x14ac:dyDescent="0.35">
      <c r="A785" t="s">
        <v>1422</v>
      </c>
      <c r="B785" t="s">
        <v>1135</v>
      </c>
      <c r="C785">
        <v>43</v>
      </c>
      <c r="D785" s="8" t="str" cm="1">
        <f t="array" ref="D785">_xlfn.IFS(C785&lt;=2, "Infant", C785&lt;=11, "Child", C785&lt;=17, "Adolescent", C785&lt;=44, "Young Adult", C785&lt;=64, "Middle Aged", C785&lt;=84,"Young Old", C785&gt;=85,"Oldest Old")</f>
        <v>Young Adult</v>
      </c>
      <c r="E785" t="s">
        <v>18</v>
      </c>
      <c r="F785" s="4">
        <v>45743</v>
      </c>
      <c r="G785" s="4">
        <v>45747</v>
      </c>
      <c r="H785" s="7">
        <f t="shared" si="36"/>
        <v>4</v>
      </c>
      <c r="I785" t="s">
        <v>31</v>
      </c>
      <c r="J785" t="s">
        <v>35</v>
      </c>
      <c r="K785" s="2">
        <v>2392.67</v>
      </c>
      <c r="L785" s="9">
        <v>0.6</v>
      </c>
      <c r="M785" s="15">
        <f t="shared" si="37"/>
        <v>1435.6020000000001</v>
      </c>
      <c r="N785" s="15">
        <f t="shared" si="38"/>
        <v>957.06799999999998</v>
      </c>
      <c r="O785" t="s">
        <v>25</v>
      </c>
    </row>
    <row r="786" spans="1:15" hidden="1" x14ac:dyDescent="0.35">
      <c r="A786" t="s">
        <v>1423</v>
      </c>
      <c r="B786" t="s">
        <v>208</v>
      </c>
      <c r="C786">
        <v>23</v>
      </c>
      <c r="D786" s="8" t="str" cm="1">
        <f t="array" ref="D786">_xlfn.IFS(C786&lt;=2, "Infant", C786&lt;=11, "Child", C786&lt;=17, "Adolescent", C786&lt;=44, "Young Adult", C786&lt;=64, "Middle Aged", C786&lt;=84,"Young Old", C786&gt;=85,"Oldest Old")</f>
        <v>Young Adult</v>
      </c>
      <c r="E786" t="s">
        <v>18</v>
      </c>
      <c r="F786" s="4">
        <v>45634</v>
      </c>
      <c r="G786" s="4">
        <v>45635</v>
      </c>
      <c r="H786" s="7">
        <f t="shared" si="36"/>
        <v>1</v>
      </c>
      <c r="I786" t="s">
        <v>31</v>
      </c>
      <c r="J786" t="s">
        <v>114</v>
      </c>
      <c r="K786" s="2">
        <v>1000.43</v>
      </c>
      <c r="L786" s="9">
        <v>0.9</v>
      </c>
      <c r="M786" s="15">
        <f t="shared" si="37"/>
        <v>900.38699999999994</v>
      </c>
      <c r="N786" s="15">
        <f t="shared" si="38"/>
        <v>100.04300000000001</v>
      </c>
      <c r="O786" t="s">
        <v>15</v>
      </c>
    </row>
    <row r="787" spans="1:15" hidden="1" x14ac:dyDescent="0.35">
      <c r="A787" t="s">
        <v>1424</v>
      </c>
      <c r="B787" t="s">
        <v>553</v>
      </c>
      <c r="C787">
        <v>58</v>
      </c>
      <c r="D787" s="8" t="str" cm="1">
        <f t="array" ref="D787">_xlfn.IFS(C787&lt;=2, "Infant", C787&lt;=11, "Child", C787&lt;=17, "Adolescent", C787&lt;=44, "Young Adult", C787&lt;=64, "Middle Aged", C787&lt;=84,"Young Old", C787&gt;=85,"Oldest Old")</f>
        <v>Middle Aged</v>
      </c>
      <c r="E787" t="s">
        <v>12</v>
      </c>
      <c r="F787" s="4">
        <v>45709</v>
      </c>
      <c r="G787" s="4">
        <v>45713</v>
      </c>
      <c r="H787" s="7">
        <f t="shared" si="36"/>
        <v>4</v>
      </c>
      <c r="I787" t="s">
        <v>70</v>
      </c>
      <c r="J787" t="s">
        <v>237</v>
      </c>
      <c r="K787" s="2">
        <v>10299</v>
      </c>
      <c r="L787" s="9">
        <v>0.9</v>
      </c>
      <c r="M787" s="15">
        <f t="shared" si="37"/>
        <v>9269.1</v>
      </c>
      <c r="N787" s="15">
        <f t="shared" si="38"/>
        <v>1029.8999999999996</v>
      </c>
      <c r="O787" t="s">
        <v>15</v>
      </c>
    </row>
    <row r="788" spans="1:15" hidden="1" x14ac:dyDescent="0.35">
      <c r="A788" t="s">
        <v>1425</v>
      </c>
      <c r="B788" t="s">
        <v>618</v>
      </c>
      <c r="C788">
        <v>58</v>
      </c>
      <c r="D788" s="8" t="str" cm="1">
        <f t="array" ref="D788">_xlfn.IFS(C788&lt;=2, "Infant", C788&lt;=11, "Child", C788&lt;=17, "Adolescent", C788&lt;=44, "Young Adult", C788&lt;=64, "Middle Aged", C788&lt;=84,"Young Old", C788&gt;=85,"Oldest Old")</f>
        <v>Middle Aged</v>
      </c>
      <c r="E788" t="s">
        <v>18</v>
      </c>
      <c r="F788" s="4">
        <v>45574</v>
      </c>
      <c r="G788" s="4">
        <v>45584</v>
      </c>
      <c r="H788" s="7">
        <f t="shared" si="36"/>
        <v>10</v>
      </c>
      <c r="I788" t="s">
        <v>70</v>
      </c>
      <c r="J788" t="s">
        <v>157</v>
      </c>
      <c r="K788" s="2">
        <v>25129.38</v>
      </c>
      <c r="L788" s="9">
        <v>0.9</v>
      </c>
      <c r="M788" s="15">
        <f t="shared" si="37"/>
        <v>22616.442000000003</v>
      </c>
      <c r="N788" s="15">
        <f t="shared" si="38"/>
        <v>2512.9379999999983</v>
      </c>
      <c r="O788" t="s">
        <v>15</v>
      </c>
    </row>
    <row r="789" spans="1:15" hidden="1" x14ac:dyDescent="0.35">
      <c r="A789" t="s">
        <v>1426</v>
      </c>
      <c r="B789" t="s">
        <v>1427</v>
      </c>
      <c r="C789">
        <v>9</v>
      </c>
      <c r="D789" s="8" t="str" cm="1">
        <f t="array" ref="D789">_xlfn.IFS(C789&lt;=2, "Infant", C789&lt;=11, "Child", C789&lt;=17, "Adolescent", C789&lt;=44, "Young Adult", C789&lt;=64, "Middle Aged", C789&lt;=84,"Young Old", C789&gt;=85,"Oldest Old")</f>
        <v>Child</v>
      </c>
      <c r="E789" t="s">
        <v>12</v>
      </c>
      <c r="F789" s="4">
        <v>45418</v>
      </c>
      <c r="G789" s="4">
        <v>45423</v>
      </c>
      <c r="H789" s="7">
        <f t="shared" si="36"/>
        <v>5</v>
      </c>
      <c r="I789" t="s">
        <v>49</v>
      </c>
      <c r="J789" t="s">
        <v>117</v>
      </c>
      <c r="K789" s="2">
        <v>6735.15</v>
      </c>
      <c r="L789" s="9">
        <v>1</v>
      </c>
      <c r="M789" s="15">
        <f t="shared" si="37"/>
        <v>6735.15</v>
      </c>
      <c r="N789" s="15">
        <f t="shared" si="38"/>
        <v>0</v>
      </c>
      <c r="O789" t="s">
        <v>25</v>
      </c>
    </row>
    <row r="790" spans="1:15" hidden="1" x14ac:dyDescent="0.35">
      <c r="A790" t="s">
        <v>1428</v>
      </c>
      <c r="B790" t="s">
        <v>835</v>
      </c>
      <c r="C790">
        <v>62</v>
      </c>
      <c r="D790" s="8" t="str" cm="1">
        <f t="array" ref="D790">_xlfn.IFS(C790&lt;=2, "Infant", C790&lt;=11, "Child", C790&lt;=17, "Adolescent", C790&lt;=44, "Young Adult", C790&lt;=64, "Middle Aged", C790&lt;=84,"Young Old", C790&gt;=85,"Oldest Old")</f>
        <v>Middle Aged</v>
      </c>
      <c r="E790" t="s">
        <v>18</v>
      </c>
      <c r="F790" s="4">
        <v>45530</v>
      </c>
      <c r="G790" s="4">
        <v>45540</v>
      </c>
      <c r="H790" s="7">
        <f t="shared" si="36"/>
        <v>10</v>
      </c>
      <c r="I790" t="s">
        <v>13</v>
      </c>
      <c r="J790" t="s">
        <v>111</v>
      </c>
      <c r="K790" s="2">
        <v>20130.14</v>
      </c>
      <c r="L790" s="9">
        <v>0.7</v>
      </c>
      <c r="M790" s="15">
        <f t="shared" si="37"/>
        <v>14091.097999999998</v>
      </c>
      <c r="N790" s="15">
        <f t="shared" si="38"/>
        <v>6039.0420000000013</v>
      </c>
      <c r="O790" t="s">
        <v>15</v>
      </c>
    </row>
    <row r="791" spans="1:15" hidden="1" x14ac:dyDescent="0.35">
      <c r="A791" t="s">
        <v>1429</v>
      </c>
      <c r="B791" t="s">
        <v>1430</v>
      </c>
      <c r="C791">
        <v>3</v>
      </c>
      <c r="D791" s="8" t="str" cm="1">
        <f t="array" ref="D791">_xlfn.IFS(C791&lt;=2, "Infant", C791&lt;=11, "Child", C791&lt;=17, "Adolescent", C791&lt;=44, "Young Adult", C791&lt;=64, "Middle Aged", C791&lt;=84,"Young Old", C791&gt;=85,"Oldest Old")</f>
        <v>Child</v>
      </c>
      <c r="E791" t="s">
        <v>12</v>
      </c>
      <c r="F791" s="4">
        <v>45349</v>
      </c>
      <c r="G791" s="4">
        <v>45350</v>
      </c>
      <c r="H791" s="7">
        <f t="shared" si="36"/>
        <v>1</v>
      </c>
      <c r="I791" t="s">
        <v>49</v>
      </c>
      <c r="J791" t="s">
        <v>378</v>
      </c>
      <c r="K791" s="2">
        <v>1138.69</v>
      </c>
      <c r="L791" s="9">
        <v>0.8</v>
      </c>
      <c r="M791" s="15">
        <f t="shared" si="37"/>
        <v>910.95200000000011</v>
      </c>
      <c r="N791" s="15">
        <f t="shared" si="38"/>
        <v>227.73799999999994</v>
      </c>
      <c r="O791" t="s">
        <v>15</v>
      </c>
    </row>
    <row r="792" spans="1:15" hidden="1" x14ac:dyDescent="0.35">
      <c r="A792" t="s">
        <v>1431</v>
      </c>
      <c r="B792" t="s">
        <v>566</v>
      </c>
      <c r="C792">
        <v>75</v>
      </c>
      <c r="D792" s="8" t="str" cm="1">
        <f t="array" ref="D792">_xlfn.IFS(C792&lt;=2, "Infant", C792&lt;=11, "Child", C792&lt;=17, "Adolescent", C792&lt;=44, "Young Adult", C792&lt;=64, "Middle Aged", C792&lt;=84,"Young Old", C792&gt;=85,"Oldest Old")</f>
        <v>Young Old</v>
      </c>
      <c r="E792" t="s">
        <v>12</v>
      </c>
      <c r="F792" s="4">
        <v>45919</v>
      </c>
      <c r="G792" s="4">
        <v>45932</v>
      </c>
      <c r="H792" s="7">
        <f t="shared" si="36"/>
        <v>13</v>
      </c>
      <c r="I792" t="s">
        <v>60</v>
      </c>
      <c r="J792" t="s">
        <v>97</v>
      </c>
      <c r="K792" s="2">
        <v>17304.05</v>
      </c>
      <c r="L792" s="9">
        <v>0.8</v>
      </c>
      <c r="M792" s="15">
        <f t="shared" si="37"/>
        <v>13843.24</v>
      </c>
      <c r="N792" s="15">
        <f t="shared" si="38"/>
        <v>3460.8099999999995</v>
      </c>
      <c r="O792" t="s">
        <v>15</v>
      </c>
    </row>
    <row r="793" spans="1:15" hidden="1" x14ac:dyDescent="0.35">
      <c r="A793" t="s">
        <v>1432</v>
      </c>
      <c r="B793" t="s">
        <v>1433</v>
      </c>
      <c r="C793">
        <v>66</v>
      </c>
      <c r="D793" s="8" t="str" cm="1">
        <f t="array" ref="D793">_xlfn.IFS(C793&lt;=2, "Infant", C793&lt;=11, "Child", C793&lt;=17, "Adolescent", C793&lt;=44, "Young Adult", C793&lt;=64, "Middle Aged", C793&lt;=84,"Young Old", C793&gt;=85,"Oldest Old")</f>
        <v>Young Old</v>
      </c>
      <c r="E793" t="s">
        <v>18</v>
      </c>
      <c r="F793" s="4">
        <v>45666</v>
      </c>
      <c r="G793" s="4">
        <v>45670</v>
      </c>
      <c r="H793" s="7">
        <f t="shared" si="36"/>
        <v>4</v>
      </c>
      <c r="I793" t="s">
        <v>31</v>
      </c>
      <c r="J793" t="s">
        <v>234</v>
      </c>
      <c r="K793" s="2">
        <v>2563.36</v>
      </c>
      <c r="L793" s="9">
        <v>0.7</v>
      </c>
      <c r="M793" s="15">
        <f t="shared" si="37"/>
        <v>1794.3519999999999</v>
      </c>
      <c r="N793" s="15">
        <f t="shared" si="38"/>
        <v>769.00800000000027</v>
      </c>
      <c r="O793" t="s">
        <v>15</v>
      </c>
    </row>
    <row r="794" spans="1:15" x14ac:dyDescent="0.35">
      <c r="A794" t="s">
        <v>1434</v>
      </c>
      <c r="B794" t="s">
        <v>1022</v>
      </c>
      <c r="C794">
        <v>73</v>
      </c>
      <c r="D794" s="8" t="str" cm="1">
        <f t="array" ref="D794">_xlfn.IFS(C794&lt;=2, "Infant", C794&lt;=11, "Child", C794&lt;=17, "Adolescent", C794&lt;=44, "Young Adult", C794&lt;=64, "Middle Aged", C794&lt;=84,"Young Old", C794&gt;=85,"Oldest Old")</f>
        <v>Young Old</v>
      </c>
      <c r="E794" t="s">
        <v>18</v>
      </c>
      <c r="F794" s="4">
        <v>45886</v>
      </c>
      <c r="G794" s="4">
        <v>45892</v>
      </c>
      <c r="H794" s="7">
        <f t="shared" si="36"/>
        <v>6</v>
      </c>
      <c r="I794" t="s">
        <v>31</v>
      </c>
      <c r="J794" t="s">
        <v>32</v>
      </c>
      <c r="K794" s="2">
        <v>5938.64</v>
      </c>
      <c r="L794" s="9">
        <v>0.8</v>
      </c>
      <c r="M794" s="15">
        <f t="shared" si="37"/>
        <v>4750.9120000000003</v>
      </c>
      <c r="N794" s="15">
        <f t="shared" si="38"/>
        <v>1187.7280000000001</v>
      </c>
      <c r="O794" t="s">
        <v>15</v>
      </c>
    </row>
    <row r="795" spans="1:15" hidden="1" x14ac:dyDescent="0.35">
      <c r="A795" t="s">
        <v>1435</v>
      </c>
      <c r="B795" t="s">
        <v>630</v>
      </c>
      <c r="C795">
        <v>58</v>
      </c>
      <c r="D795" s="8" t="str" cm="1">
        <f t="array" ref="D795">_xlfn.IFS(C795&lt;=2, "Infant", C795&lt;=11, "Child", C795&lt;=17, "Adolescent", C795&lt;=44, "Young Adult", C795&lt;=64, "Middle Aged", C795&lt;=84,"Young Old", C795&gt;=85,"Oldest Old")</f>
        <v>Middle Aged</v>
      </c>
      <c r="E795" t="s">
        <v>12</v>
      </c>
      <c r="F795" s="4">
        <v>45763</v>
      </c>
      <c r="G795" s="4">
        <v>45766</v>
      </c>
      <c r="H795" s="7">
        <f t="shared" si="36"/>
        <v>3</v>
      </c>
      <c r="I795" t="s">
        <v>60</v>
      </c>
      <c r="J795" t="s">
        <v>74</v>
      </c>
      <c r="K795" s="2">
        <v>6946.39</v>
      </c>
      <c r="L795" s="9">
        <v>0.9</v>
      </c>
      <c r="M795" s="15">
        <f t="shared" si="37"/>
        <v>6251.7510000000002</v>
      </c>
      <c r="N795" s="15">
        <f t="shared" si="38"/>
        <v>694.63900000000012</v>
      </c>
      <c r="O795" t="s">
        <v>15</v>
      </c>
    </row>
    <row r="796" spans="1:15" hidden="1" x14ac:dyDescent="0.35">
      <c r="A796" t="s">
        <v>1436</v>
      </c>
      <c r="B796" t="s">
        <v>1437</v>
      </c>
      <c r="C796">
        <v>32</v>
      </c>
      <c r="D796" s="8" t="str" cm="1">
        <f t="array" ref="D796">_xlfn.IFS(C796&lt;=2, "Infant", C796&lt;=11, "Child", C796&lt;=17, "Adolescent", C796&lt;=44, "Young Adult", C796&lt;=64, "Middle Aged", C796&lt;=84,"Young Old", C796&gt;=85,"Oldest Old")</f>
        <v>Young Adult</v>
      </c>
      <c r="E796" t="s">
        <v>18</v>
      </c>
      <c r="F796" s="4">
        <v>45812</v>
      </c>
      <c r="G796" s="4">
        <v>45823</v>
      </c>
      <c r="H796" s="7">
        <f t="shared" si="36"/>
        <v>11</v>
      </c>
      <c r="I796" t="s">
        <v>70</v>
      </c>
      <c r="J796" t="s">
        <v>194</v>
      </c>
      <c r="K796" s="2">
        <v>15560.38</v>
      </c>
      <c r="L796" s="9">
        <v>0.8</v>
      </c>
      <c r="M796" s="15">
        <f t="shared" si="37"/>
        <v>12448.304</v>
      </c>
      <c r="N796" s="15">
        <f t="shared" si="38"/>
        <v>3112.0759999999991</v>
      </c>
      <c r="O796" t="s">
        <v>15</v>
      </c>
    </row>
    <row r="797" spans="1:15" hidden="1" x14ac:dyDescent="0.35">
      <c r="A797" t="s">
        <v>1438</v>
      </c>
      <c r="B797" t="s">
        <v>1439</v>
      </c>
      <c r="C797">
        <v>14</v>
      </c>
      <c r="D797" s="8" t="str" cm="1">
        <f t="array" ref="D797">_xlfn.IFS(C797&lt;=2, "Infant", C797&lt;=11, "Child", C797&lt;=17, "Adolescent", C797&lt;=44, "Young Adult", C797&lt;=64, "Middle Aged", C797&lt;=84,"Young Old", C797&gt;=85,"Oldest Old")</f>
        <v>Adolescent</v>
      </c>
      <c r="E797" t="s">
        <v>12</v>
      </c>
      <c r="F797" s="4">
        <v>45746</v>
      </c>
      <c r="G797" s="4">
        <v>45750</v>
      </c>
      <c r="H797" s="7">
        <f t="shared" si="36"/>
        <v>4</v>
      </c>
      <c r="I797" t="s">
        <v>49</v>
      </c>
      <c r="J797" t="s">
        <v>117</v>
      </c>
      <c r="K797" s="2">
        <v>6667.93</v>
      </c>
      <c r="L797" s="9">
        <v>0.9</v>
      </c>
      <c r="M797" s="15">
        <f t="shared" si="37"/>
        <v>6001.1370000000006</v>
      </c>
      <c r="N797" s="15">
        <f t="shared" si="38"/>
        <v>666.79299999999967</v>
      </c>
      <c r="O797" t="s">
        <v>20</v>
      </c>
    </row>
    <row r="798" spans="1:15" hidden="1" x14ac:dyDescent="0.35">
      <c r="A798" t="s">
        <v>1440</v>
      </c>
      <c r="B798" t="s">
        <v>1312</v>
      </c>
      <c r="C798">
        <v>26</v>
      </c>
      <c r="D798" s="8" t="str" cm="1">
        <f t="array" ref="D798">_xlfn.IFS(C798&lt;=2, "Infant", C798&lt;=11, "Child", C798&lt;=17, "Adolescent", C798&lt;=44, "Young Adult", C798&lt;=64, "Middle Aged", C798&lt;=84,"Young Old", C798&gt;=85,"Oldest Old")</f>
        <v>Young Adult</v>
      </c>
      <c r="E798" t="s">
        <v>12</v>
      </c>
      <c r="F798" s="4">
        <v>45305</v>
      </c>
      <c r="G798" s="4">
        <v>45307</v>
      </c>
      <c r="H798" s="7">
        <f t="shared" si="36"/>
        <v>2</v>
      </c>
      <c r="I798" t="s">
        <v>23</v>
      </c>
      <c r="J798" t="s">
        <v>204</v>
      </c>
      <c r="K798" s="2">
        <v>3800.12</v>
      </c>
      <c r="L798" s="9">
        <v>0.7</v>
      </c>
      <c r="M798" s="15">
        <f t="shared" si="37"/>
        <v>2660.0839999999998</v>
      </c>
      <c r="N798" s="15">
        <f t="shared" si="38"/>
        <v>1140.0360000000001</v>
      </c>
      <c r="O798" t="s">
        <v>15</v>
      </c>
    </row>
    <row r="799" spans="1:15" hidden="1" x14ac:dyDescent="0.35">
      <c r="A799" t="s">
        <v>1441</v>
      </c>
      <c r="B799" t="s">
        <v>1442</v>
      </c>
      <c r="C799">
        <v>25</v>
      </c>
      <c r="D799" s="8" t="str" cm="1">
        <f t="array" ref="D799">_xlfn.IFS(C799&lt;=2, "Infant", C799&lt;=11, "Child", C799&lt;=17, "Adolescent", C799&lt;=44, "Young Adult", C799&lt;=64, "Middle Aged", C799&lt;=84,"Young Old", C799&gt;=85,"Oldest Old")</f>
        <v>Young Adult</v>
      </c>
      <c r="E799" t="s">
        <v>18</v>
      </c>
      <c r="F799" s="4">
        <v>45344</v>
      </c>
      <c r="G799" s="4">
        <v>45345</v>
      </c>
      <c r="H799" s="7">
        <f t="shared" si="36"/>
        <v>1</v>
      </c>
      <c r="I799" t="s">
        <v>23</v>
      </c>
      <c r="J799" t="s">
        <v>41</v>
      </c>
      <c r="K799" s="2">
        <v>1697.82</v>
      </c>
      <c r="L799" s="9">
        <v>0.8</v>
      </c>
      <c r="M799" s="15">
        <f t="shared" si="37"/>
        <v>1358.2560000000001</v>
      </c>
      <c r="N799" s="15">
        <f t="shared" si="38"/>
        <v>339.56399999999985</v>
      </c>
      <c r="O799" t="s">
        <v>15</v>
      </c>
    </row>
    <row r="800" spans="1:15" hidden="1" x14ac:dyDescent="0.35">
      <c r="A800" t="s">
        <v>1443</v>
      </c>
      <c r="B800" t="s">
        <v>1232</v>
      </c>
      <c r="C800">
        <v>44</v>
      </c>
      <c r="D800" s="8" t="str" cm="1">
        <f t="array" ref="D800">_xlfn.IFS(C800&lt;=2, "Infant", C800&lt;=11, "Child", C800&lt;=17, "Adolescent", C800&lt;=44, "Young Adult", C800&lt;=64, "Middle Aged", C800&lt;=84,"Young Old", C800&gt;=85,"Oldest Old")</f>
        <v>Young Adult</v>
      </c>
      <c r="E800" t="s">
        <v>12</v>
      </c>
      <c r="F800" s="4">
        <v>45980</v>
      </c>
      <c r="G800" s="4">
        <v>45983</v>
      </c>
      <c r="H800" s="7">
        <f t="shared" si="36"/>
        <v>3</v>
      </c>
      <c r="I800" t="s">
        <v>13</v>
      </c>
      <c r="J800" t="s">
        <v>165</v>
      </c>
      <c r="K800" s="2">
        <v>8833.89</v>
      </c>
      <c r="L800" s="9">
        <v>1</v>
      </c>
      <c r="M800" s="15">
        <f t="shared" si="37"/>
        <v>8833.89</v>
      </c>
      <c r="N800" s="15">
        <f t="shared" si="38"/>
        <v>0</v>
      </c>
      <c r="O800" t="s">
        <v>15</v>
      </c>
    </row>
    <row r="801" spans="1:15" hidden="1" x14ac:dyDescent="0.35">
      <c r="A801" t="s">
        <v>1444</v>
      </c>
      <c r="B801" t="s">
        <v>1405</v>
      </c>
      <c r="C801">
        <v>52</v>
      </c>
      <c r="D801" s="8" t="str" cm="1">
        <f t="array" ref="D801">_xlfn.IFS(C801&lt;=2, "Infant", C801&lt;=11, "Child", C801&lt;=17, "Adolescent", C801&lt;=44, "Young Adult", C801&lt;=64, "Middle Aged", C801&lt;=84,"Young Old", C801&gt;=85,"Oldest Old")</f>
        <v>Middle Aged</v>
      </c>
      <c r="E801" t="s">
        <v>12</v>
      </c>
      <c r="F801" s="4">
        <v>45809</v>
      </c>
      <c r="G801" s="4">
        <v>45810</v>
      </c>
      <c r="H801" s="7">
        <f t="shared" si="36"/>
        <v>1</v>
      </c>
      <c r="I801" t="s">
        <v>31</v>
      </c>
      <c r="J801" t="s">
        <v>35</v>
      </c>
      <c r="K801" s="2">
        <v>809.13</v>
      </c>
      <c r="L801" s="9">
        <v>0.6</v>
      </c>
      <c r="M801" s="15">
        <f t="shared" si="37"/>
        <v>485.47799999999995</v>
      </c>
      <c r="N801" s="15">
        <f t="shared" si="38"/>
        <v>323.65200000000004</v>
      </c>
      <c r="O801" t="s">
        <v>20</v>
      </c>
    </row>
    <row r="802" spans="1:15" hidden="1" x14ac:dyDescent="0.35">
      <c r="A802" t="s">
        <v>1445</v>
      </c>
      <c r="B802" t="s">
        <v>1446</v>
      </c>
      <c r="C802">
        <v>66</v>
      </c>
      <c r="D802" s="8" t="str" cm="1">
        <f t="array" ref="D802">_xlfn.IFS(C802&lt;=2, "Infant", C802&lt;=11, "Child", C802&lt;=17, "Adolescent", C802&lt;=44, "Young Adult", C802&lt;=64, "Middle Aged", C802&lt;=84,"Young Old", C802&gt;=85,"Oldest Old")</f>
        <v>Young Old</v>
      </c>
      <c r="E802" t="s">
        <v>12</v>
      </c>
      <c r="F802" s="4">
        <v>45335</v>
      </c>
      <c r="G802" s="4">
        <v>45337</v>
      </c>
      <c r="H802" s="7">
        <f t="shared" si="36"/>
        <v>2</v>
      </c>
      <c r="I802" t="s">
        <v>23</v>
      </c>
      <c r="J802" t="s">
        <v>333</v>
      </c>
      <c r="K802" s="2">
        <v>2529.54</v>
      </c>
      <c r="L802" s="9">
        <v>1</v>
      </c>
      <c r="M802" s="15">
        <f t="shared" si="37"/>
        <v>2529.54</v>
      </c>
      <c r="N802" s="15">
        <f t="shared" si="38"/>
        <v>0</v>
      </c>
      <c r="O802" t="s">
        <v>20</v>
      </c>
    </row>
    <row r="803" spans="1:15" hidden="1" x14ac:dyDescent="0.35">
      <c r="A803" t="s">
        <v>1447</v>
      </c>
      <c r="B803" t="s">
        <v>1057</v>
      </c>
      <c r="C803">
        <v>8</v>
      </c>
      <c r="D803" s="8" t="str" cm="1">
        <f t="array" ref="D803">_xlfn.IFS(C803&lt;=2, "Infant", C803&lt;=11, "Child", C803&lt;=17, "Adolescent", C803&lt;=44, "Young Adult", C803&lt;=64, "Middle Aged", C803&lt;=84,"Young Old", C803&gt;=85,"Oldest Old")</f>
        <v>Child</v>
      </c>
      <c r="E803" t="s">
        <v>18</v>
      </c>
      <c r="F803" s="4">
        <v>45939</v>
      </c>
      <c r="G803" s="4">
        <v>45942</v>
      </c>
      <c r="H803" s="7">
        <f t="shared" si="36"/>
        <v>3</v>
      </c>
      <c r="I803" t="s">
        <v>49</v>
      </c>
      <c r="J803" t="s">
        <v>50</v>
      </c>
      <c r="K803" s="2">
        <v>4739.3900000000003</v>
      </c>
      <c r="L803" s="9">
        <v>0.8</v>
      </c>
      <c r="M803" s="15">
        <f t="shared" si="37"/>
        <v>3791.5120000000006</v>
      </c>
      <c r="N803" s="15">
        <f t="shared" si="38"/>
        <v>947.8779999999997</v>
      </c>
      <c r="O803" t="s">
        <v>20</v>
      </c>
    </row>
    <row r="804" spans="1:15" hidden="1" x14ac:dyDescent="0.35">
      <c r="A804" t="s">
        <v>1448</v>
      </c>
      <c r="B804" t="s">
        <v>952</v>
      </c>
      <c r="C804">
        <v>37</v>
      </c>
      <c r="D804" s="8" t="str" cm="1">
        <f t="array" ref="D804">_xlfn.IFS(C804&lt;=2, "Infant", C804&lt;=11, "Child", C804&lt;=17, "Adolescent", C804&lt;=44, "Young Adult", C804&lt;=64, "Middle Aged", C804&lt;=84,"Young Old", C804&gt;=85,"Oldest Old")</f>
        <v>Young Adult</v>
      </c>
      <c r="E804" t="s">
        <v>18</v>
      </c>
      <c r="F804" s="4">
        <v>45961</v>
      </c>
      <c r="G804" s="4">
        <v>45962</v>
      </c>
      <c r="H804" s="7">
        <f t="shared" si="36"/>
        <v>1</v>
      </c>
      <c r="I804" t="s">
        <v>23</v>
      </c>
      <c r="J804" t="s">
        <v>28</v>
      </c>
      <c r="K804" s="2">
        <v>1444.42</v>
      </c>
      <c r="L804" s="9">
        <v>0.8</v>
      </c>
      <c r="M804" s="15">
        <f t="shared" si="37"/>
        <v>1155.5360000000001</v>
      </c>
      <c r="N804" s="15">
        <f t="shared" si="38"/>
        <v>288.88400000000001</v>
      </c>
      <c r="O804" t="s">
        <v>15</v>
      </c>
    </row>
    <row r="805" spans="1:15" hidden="1" x14ac:dyDescent="0.35">
      <c r="A805" t="s">
        <v>1449</v>
      </c>
      <c r="B805" t="s">
        <v>1450</v>
      </c>
      <c r="C805">
        <v>21</v>
      </c>
      <c r="D805" s="8" t="str" cm="1">
        <f t="array" ref="D805">_xlfn.IFS(C805&lt;=2, "Infant", C805&lt;=11, "Child", C805&lt;=17, "Adolescent", C805&lt;=44, "Young Adult", C805&lt;=64, "Middle Aged", C805&lt;=84,"Young Old", C805&gt;=85,"Oldest Old")</f>
        <v>Young Adult</v>
      </c>
      <c r="E805" t="s">
        <v>18</v>
      </c>
      <c r="F805" s="4">
        <v>45384</v>
      </c>
      <c r="G805" s="4">
        <v>45385</v>
      </c>
      <c r="H805" s="7">
        <f t="shared" si="36"/>
        <v>1</v>
      </c>
      <c r="I805" t="s">
        <v>31</v>
      </c>
      <c r="J805" t="s">
        <v>53</v>
      </c>
      <c r="K805" s="2">
        <v>646.89</v>
      </c>
      <c r="L805" s="9">
        <v>0.7</v>
      </c>
      <c r="M805" s="15">
        <f t="shared" si="37"/>
        <v>452.82299999999998</v>
      </c>
      <c r="N805" s="15">
        <f t="shared" si="38"/>
        <v>194.06700000000001</v>
      </c>
      <c r="O805" t="s">
        <v>20</v>
      </c>
    </row>
    <row r="806" spans="1:15" hidden="1" x14ac:dyDescent="0.35">
      <c r="A806" t="s">
        <v>1451</v>
      </c>
      <c r="B806" t="s">
        <v>1128</v>
      </c>
      <c r="C806">
        <v>64</v>
      </c>
      <c r="D806" s="8" t="str" cm="1">
        <f t="array" ref="D806">_xlfn.IFS(C806&lt;=2, "Infant", C806&lt;=11, "Child", C806&lt;=17, "Adolescent", C806&lt;=44, "Young Adult", C806&lt;=64, "Middle Aged", C806&lt;=84,"Young Old", C806&gt;=85,"Oldest Old")</f>
        <v>Middle Aged</v>
      </c>
      <c r="E806" t="s">
        <v>12</v>
      </c>
      <c r="F806" s="4">
        <v>45553</v>
      </c>
      <c r="G806" s="4">
        <v>45555</v>
      </c>
      <c r="H806" s="7">
        <f t="shared" si="36"/>
        <v>2</v>
      </c>
      <c r="I806" t="s">
        <v>23</v>
      </c>
      <c r="J806" t="s">
        <v>221</v>
      </c>
      <c r="K806" s="2">
        <v>4600.38</v>
      </c>
      <c r="L806" s="9">
        <v>0.7</v>
      </c>
      <c r="M806" s="15">
        <f t="shared" si="37"/>
        <v>3220.2660000000001</v>
      </c>
      <c r="N806" s="15">
        <f t="shared" si="38"/>
        <v>1380.114</v>
      </c>
      <c r="O806" t="s">
        <v>15</v>
      </c>
    </row>
    <row r="807" spans="1:15" hidden="1" x14ac:dyDescent="0.35">
      <c r="A807" t="s">
        <v>1452</v>
      </c>
      <c r="B807" t="s">
        <v>577</v>
      </c>
      <c r="C807">
        <v>78</v>
      </c>
      <c r="D807" s="8" t="str" cm="1">
        <f t="array" ref="D807">_xlfn.IFS(C807&lt;=2, "Infant", C807&lt;=11, "Child", C807&lt;=17, "Adolescent", C807&lt;=44, "Young Adult", C807&lt;=64, "Middle Aged", C807&lt;=84,"Young Old", C807&gt;=85,"Oldest Old")</f>
        <v>Young Old</v>
      </c>
      <c r="E807" t="s">
        <v>18</v>
      </c>
      <c r="F807" s="4">
        <v>45495</v>
      </c>
      <c r="G807" s="4">
        <v>45498</v>
      </c>
      <c r="H807" s="7">
        <f t="shared" si="36"/>
        <v>3</v>
      </c>
      <c r="I807" t="s">
        <v>23</v>
      </c>
      <c r="J807" t="s">
        <v>28</v>
      </c>
      <c r="K807" s="2">
        <v>2479.6999999999998</v>
      </c>
      <c r="L807" s="9">
        <v>0.8</v>
      </c>
      <c r="M807" s="15">
        <f t="shared" si="37"/>
        <v>1983.76</v>
      </c>
      <c r="N807" s="15">
        <f t="shared" si="38"/>
        <v>495.93999999999983</v>
      </c>
      <c r="O807" t="s">
        <v>15</v>
      </c>
    </row>
    <row r="808" spans="1:15" hidden="1" x14ac:dyDescent="0.35">
      <c r="A808" t="s">
        <v>1453</v>
      </c>
      <c r="B808" t="s">
        <v>1344</v>
      </c>
      <c r="C808">
        <v>48</v>
      </c>
      <c r="D808" s="8" t="str" cm="1">
        <f t="array" ref="D808">_xlfn.IFS(C808&lt;=2, "Infant", C808&lt;=11, "Child", C808&lt;=17, "Adolescent", C808&lt;=44, "Young Adult", C808&lt;=64, "Middle Aged", C808&lt;=84,"Young Old", C808&gt;=85,"Oldest Old")</f>
        <v>Middle Aged</v>
      </c>
      <c r="E808" t="s">
        <v>12</v>
      </c>
      <c r="F808" s="4">
        <v>45955</v>
      </c>
      <c r="G808" s="4">
        <v>45962</v>
      </c>
      <c r="H808" s="7">
        <f t="shared" si="36"/>
        <v>7</v>
      </c>
      <c r="I808" t="s">
        <v>31</v>
      </c>
      <c r="J808" t="s">
        <v>87</v>
      </c>
      <c r="K808" s="2">
        <v>10101.09</v>
      </c>
      <c r="L808" s="9">
        <v>0.8</v>
      </c>
      <c r="M808" s="15">
        <f t="shared" si="37"/>
        <v>8080.8720000000003</v>
      </c>
      <c r="N808" s="15">
        <f t="shared" si="38"/>
        <v>2020.2179999999998</v>
      </c>
      <c r="O808" t="s">
        <v>25</v>
      </c>
    </row>
    <row r="809" spans="1:15" hidden="1" x14ac:dyDescent="0.35">
      <c r="A809" t="s">
        <v>1454</v>
      </c>
      <c r="B809" t="s">
        <v>1455</v>
      </c>
      <c r="C809">
        <v>59</v>
      </c>
      <c r="D809" s="8" t="str" cm="1">
        <f t="array" ref="D809">_xlfn.IFS(C809&lt;=2, "Infant", C809&lt;=11, "Child", C809&lt;=17, "Adolescent", C809&lt;=44, "Young Adult", C809&lt;=64, "Middle Aged", C809&lt;=84,"Young Old", C809&gt;=85,"Oldest Old")</f>
        <v>Middle Aged</v>
      </c>
      <c r="E809" t="s">
        <v>18</v>
      </c>
      <c r="F809" s="4">
        <v>45921</v>
      </c>
      <c r="G809" s="4">
        <v>45924</v>
      </c>
      <c r="H809" s="7">
        <f t="shared" si="36"/>
        <v>3</v>
      </c>
      <c r="I809" t="s">
        <v>31</v>
      </c>
      <c r="J809" t="s">
        <v>234</v>
      </c>
      <c r="K809" s="2">
        <v>2291.15</v>
      </c>
      <c r="L809" s="9">
        <v>0.6</v>
      </c>
      <c r="M809" s="15">
        <f t="shared" si="37"/>
        <v>1374.69</v>
      </c>
      <c r="N809" s="15">
        <f t="shared" si="38"/>
        <v>916.46</v>
      </c>
      <c r="O809" t="s">
        <v>15</v>
      </c>
    </row>
    <row r="810" spans="1:15" hidden="1" x14ac:dyDescent="0.35">
      <c r="A810" t="s">
        <v>1456</v>
      </c>
      <c r="B810" t="s">
        <v>1457</v>
      </c>
      <c r="C810">
        <v>61</v>
      </c>
      <c r="D810" s="8" t="str" cm="1">
        <f t="array" ref="D810">_xlfn.IFS(C810&lt;=2, "Infant", C810&lt;=11, "Child", C810&lt;=17, "Adolescent", C810&lt;=44, "Young Adult", C810&lt;=64, "Middle Aged", C810&lt;=84,"Young Old", C810&gt;=85,"Oldest Old")</f>
        <v>Middle Aged</v>
      </c>
      <c r="E810" t="s">
        <v>18</v>
      </c>
      <c r="F810" s="4">
        <v>45570</v>
      </c>
      <c r="G810" s="4">
        <v>45573</v>
      </c>
      <c r="H810" s="7">
        <f t="shared" si="36"/>
        <v>3</v>
      </c>
      <c r="I810" t="s">
        <v>31</v>
      </c>
      <c r="J810" t="s">
        <v>35</v>
      </c>
      <c r="K810" s="2">
        <v>4440.5200000000004</v>
      </c>
      <c r="L810" s="9">
        <v>0</v>
      </c>
      <c r="M810" s="15">
        <f t="shared" si="37"/>
        <v>0</v>
      </c>
      <c r="N810" s="15">
        <f t="shared" si="38"/>
        <v>4440.5200000000004</v>
      </c>
      <c r="O810" t="s">
        <v>20</v>
      </c>
    </row>
    <row r="811" spans="1:15" hidden="1" x14ac:dyDescent="0.35">
      <c r="A811" t="s">
        <v>1458</v>
      </c>
      <c r="B811" t="s">
        <v>1459</v>
      </c>
      <c r="C811">
        <v>83</v>
      </c>
      <c r="D811" s="8" t="str" cm="1">
        <f t="array" ref="D811">_xlfn.IFS(C811&lt;=2, "Infant", C811&lt;=11, "Child", C811&lt;=17, "Adolescent", C811&lt;=44, "Young Adult", C811&lt;=64, "Middle Aged", C811&lt;=84,"Young Old", C811&gt;=85,"Oldest Old")</f>
        <v>Young Old</v>
      </c>
      <c r="E811" t="s">
        <v>12</v>
      </c>
      <c r="F811" s="4">
        <v>45602</v>
      </c>
      <c r="G811" s="4">
        <v>45603</v>
      </c>
      <c r="H811" s="7">
        <f t="shared" si="36"/>
        <v>1</v>
      </c>
      <c r="I811" t="s">
        <v>31</v>
      </c>
      <c r="J811" t="s">
        <v>87</v>
      </c>
      <c r="K811" s="2">
        <v>923.56</v>
      </c>
      <c r="L811" s="9">
        <v>0.9</v>
      </c>
      <c r="M811" s="15">
        <f t="shared" si="37"/>
        <v>831.20399999999995</v>
      </c>
      <c r="N811" s="15">
        <f t="shared" si="38"/>
        <v>92.355999999999995</v>
      </c>
      <c r="O811" t="s">
        <v>15</v>
      </c>
    </row>
    <row r="812" spans="1:15" hidden="1" x14ac:dyDescent="0.35">
      <c r="A812" t="s">
        <v>1460</v>
      </c>
      <c r="B812" t="s">
        <v>858</v>
      </c>
      <c r="C812">
        <v>62</v>
      </c>
      <c r="D812" s="8" t="str" cm="1">
        <f t="array" ref="D812">_xlfn.IFS(C812&lt;=2, "Infant", C812&lt;=11, "Child", C812&lt;=17, "Adolescent", C812&lt;=44, "Young Adult", C812&lt;=64, "Middle Aged", C812&lt;=84,"Young Old", C812&gt;=85,"Oldest Old")</f>
        <v>Middle Aged</v>
      </c>
      <c r="E812" t="s">
        <v>12</v>
      </c>
      <c r="F812" s="4">
        <v>45601</v>
      </c>
      <c r="G812" s="4">
        <v>45604</v>
      </c>
      <c r="H812" s="7">
        <f t="shared" si="36"/>
        <v>3</v>
      </c>
      <c r="I812" t="s">
        <v>13</v>
      </c>
      <c r="J812" t="s">
        <v>165</v>
      </c>
      <c r="K812" s="2">
        <v>7663.44</v>
      </c>
      <c r="L812" s="9">
        <v>0.9</v>
      </c>
      <c r="M812" s="15">
        <f t="shared" si="37"/>
        <v>6897.0959999999995</v>
      </c>
      <c r="N812" s="15">
        <f t="shared" si="38"/>
        <v>766.34400000000005</v>
      </c>
      <c r="O812" t="s">
        <v>15</v>
      </c>
    </row>
    <row r="813" spans="1:15" hidden="1" x14ac:dyDescent="0.35">
      <c r="A813" t="s">
        <v>1461</v>
      </c>
      <c r="B813" t="s">
        <v>330</v>
      </c>
      <c r="C813">
        <v>14</v>
      </c>
      <c r="D813" s="8" t="str" cm="1">
        <f t="array" ref="D813">_xlfn.IFS(C813&lt;=2, "Infant", C813&lt;=11, "Child", C813&lt;=17, "Adolescent", C813&lt;=44, "Young Adult", C813&lt;=64, "Middle Aged", C813&lt;=84,"Young Old", C813&gt;=85,"Oldest Old")</f>
        <v>Adolescent</v>
      </c>
      <c r="E813" t="s">
        <v>18</v>
      </c>
      <c r="F813" s="4">
        <v>45686</v>
      </c>
      <c r="G813" s="4">
        <v>45690</v>
      </c>
      <c r="H813" s="7">
        <f t="shared" si="36"/>
        <v>4</v>
      </c>
      <c r="I813" t="s">
        <v>49</v>
      </c>
      <c r="J813" t="s">
        <v>123</v>
      </c>
      <c r="K813" s="2">
        <v>6386.92</v>
      </c>
      <c r="L813" s="9">
        <v>1</v>
      </c>
      <c r="M813" s="15">
        <f t="shared" si="37"/>
        <v>6386.92</v>
      </c>
      <c r="N813" s="15">
        <f t="shared" si="38"/>
        <v>0</v>
      </c>
      <c r="O813" t="s">
        <v>15</v>
      </c>
    </row>
    <row r="814" spans="1:15" hidden="1" x14ac:dyDescent="0.35">
      <c r="A814" t="s">
        <v>1462</v>
      </c>
      <c r="B814" t="s">
        <v>416</v>
      </c>
      <c r="C814">
        <v>41</v>
      </c>
      <c r="D814" s="8" t="str" cm="1">
        <f t="array" ref="D814">_xlfn.IFS(C814&lt;=2, "Infant", C814&lt;=11, "Child", C814&lt;=17, "Adolescent", C814&lt;=44, "Young Adult", C814&lt;=64, "Middle Aged", C814&lt;=84,"Young Old", C814&gt;=85,"Oldest Old")</f>
        <v>Young Adult</v>
      </c>
      <c r="E814" t="s">
        <v>18</v>
      </c>
      <c r="F814" s="4">
        <v>45344</v>
      </c>
      <c r="G814" s="4">
        <v>45346</v>
      </c>
      <c r="H814" s="7">
        <f t="shared" si="36"/>
        <v>2</v>
      </c>
      <c r="I814" t="s">
        <v>23</v>
      </c>
      <c r="J814" t="s">
        <v>221</v>
      </c>
      <c r="K814" s="2">
        <v>3243.4</v>
      </c>
      <c r="L814" s="9">
        <v>0.7</v>
      </c>
      <c r="M814" s="15">
        <f t="shared" si="37"/>
        <v>2270.38</v>
      </c>
      <c r="N814" s="15">
        <f t="shared" si="38"/>
        <v>973.02</v>
      </c>
      <c r="O814" t="s">
        <v>25</v>
      </c>
    </row>
    <row r="815" spans="1:15" hidden="1" x14ac:dyDescent="0.35">
      <c r="A815" t="s">
        <v>1463</v>
      </c>
      <c r="B815" t="s">
        <v>839</v>
      </c>
      <c r="C815">
        <v>28</v>
      </c>
      <c r="D815" s="8" t="str" cm="1">
        <f t="array" ref="D815">_xlfn.IFS(C815&lt;=2, "Infant", C815&lt;=11, "Child", C815&lt;=17, "Adolescent", C815&lt;=44, "Young Adult", C815&lt;=64, "Middle Aged", C815&lt;=84,"Young Old", C815&gt;=85,"Oldest Old")</f>
        <v>Young Adult</v>
      </c>
      <c r="E815" t="s">
        <v>12</v>
      </c>
      <c r="F815" s="4">
        <v>45523</v>
      </c>
      <c r="G815" s="4">
        <v>45525</v>
      </c>
      <c r="H815" s="7">
        <f t="shared" si="36"/>
        <v>2</v>
      </c>
      <c r="I815" t="s">
        <v>23</v>
      </c>
      <c r="J815" t="s">
        <v>333</v>
      </c>
      <c r="K815" s="2">
        <v>2328.9699999999998</v>
      </c>
      <c r="L815" s="9">
        <v>0.6</v>
      </c>
      <c r="M815" s="15">
        <f t="shared" si="37"/>
        <v>1397.3819999999998</v>
      </c>
      <c r="N815" s="15">
        <f t="shared" si="38"/>
        <v>931.58799999999997</v>
      </c>
      <c r="O815" t="s">
        <v>25</v>
      </c>
    </row>
    <row r="816" spans="1:15" hidden="1" x14ac:dyDescent="0.35">
      <c r="A816" t="s">
        <v>1464</v>
      </c>
      <c r="B816" t="s">
        <v>1022</v>
      </c>
      <c r="C816">
        <v>76</v>
      </c>
      <c r="D816" s="8" t="str" cm="1">
        <f t="array" ref="D816">_xlfn.IFS(C816&lt;=2, "Infant", C816&lt;=11, "Child", C816&lt;=17, "Adolescent", C816&lt;=44, "Young Adult", C816&lt;=64, "Middle Aged", C816&lt;=84,"Young Old", C816&gt;=85,"Oldest Old")</f>
        <v>Young Old</v>
      </c>
      <c r="E816" t="s">
        <v>18</v>
      </c>
      <c r="F816" s="4">
        <v>45388</v>
      </c>
      <c r="G816" s="4">
        <v>45393</v>
      </c>
      <c r="H816" s="7">
        <f t="shared" si="36"/>
        <v>5</v>
      </c>
      <c r="I816" t="s">
        <v>13</v>
      </c>
      <c r="J816" t="s">
        <v>111</v>
      </c>
      <c r="K816" s="2">
        <v>11411.19</v>
      </c>
      <c r="L816" s="9">
        <v>0.7</v>
      </c>
      <c r="M816" s="15">
        <f t="shared" si="37"/>
        <v>7987.8329999999996</v>
      </c>
      <c r="N816" s="15">
        <f t="shared" si="38"/>
        <v>3423.3570000000009</v>
      </c>
      <c r="O816" t="s">
        <v>15</v>
      </c>
    </row>
    <row r="817" spans="1:15" hidden="1" x14ac:dyDescent="0.35">
      <c r="A817" t="s">
        <v>1465</v>
      </c>
      <c r="B817" t="s">
        <v>1466</v>
      </c>
      <c r="C817">
        <v>80</v>
      </c>
      <c r="D817" s="8" t="str" cm="1">
        <f t="array" ref="D817">_xlfn.IFS(C817&lt;=2, "Infant", C817&lt;=11, "Child", C817&lt;=17, "Adolescent", C817&lt;=44, "Young Adult", C817&lt;=64, "Middle Aged", C817&lt;=84,"Young Old", C817&gt;=85,"Oldest Old")</f>
        <v>Young Old</v>
      </c>
      <c r="E817" t="s">
        <v>18</v>
      </c>
      <c r="F817" s="4">
        <v>45449</v>
      </c>
      <c r="G817" s="4">
        <v>45457</v>
      </c>
      <c r="H817" s="7">
        <f t="shared" si="36"/>
        <v>8</v>
      </c>
      <c r="I817" t="s">
        <v>70</v>
      </c>
      <c r="J817" t="s">
        <v>94</v>
      </c>
      <c r="K817" s="2">
        <v>18741.169999999998</v>
      </c>
      <c r="L817" s="9">
        <v>0.7</v>
      </c>
      <c r="M817" s="15">
        <f t="shared" si="37"/>
        <v>13118.818999999998</v>
      </c>
      <c r="N817" s="15">
        <f t="shared" si="38"/>
        <v>5622.3510000000006</v>
      </c>
      <c r="O817" t="s">
        <v>15</v>
      </c>
    </row>
    <row r="818" spans="1:15" hidden="1" x14ac:dyDescent="0.35">
      <c r="A818" t="s">
        <v>1467</v>
      </c>
      <c r="B818" t="s">
        <v>1357</v>
      </c>
      <c r="C818">
        <v>53</v>
      </c>
      <c r="D818" s="8" t="str" cm="1">
        <f t="array" ref="D818">_xlfn.IFS(C818&lt;=2, "Infant", C818&lt;=11, "Child", C818&lt;=17, "Adolescent", C818&lt;=44, "Young Adult", C818&lt;=64, "Middle Aged", C818&lt;=84,"Young Old", C818&gt;=85,"Oldest Old")</f>
        <v>Middle Aged</v>
      </c>
      <c r="E818" t="s">
        <v>18</v>
      </c>
      <c r="F818" s="4">
        <v>45541</v>
      </c>
      <c r="G818" s="4">
        <v>45543</v>
      </c>
      <c r="H818" s="7">
        <f t="shared" si="36"/>
        <v>2</v>
      </c>
      <c r="I818" t="s">
        <v>23</v>
      </c>
      <c r="J818" t="s">
        <v>28</v>
      </c>
      <c r="K818" s="2">
        <v>3602.24</v>
      </c>
      <c r="L818" s="9">
        <v>0.7</v>
      </c>
      <c r="M818" s="15">
        <f t="shared" si="37"/>
        <v>2521.5679999999998</v>
      </c>
      <c r="N818" s="15">
        <f t="shared" si="38"/>
        <v>1080.672</v>
      </c>
      <c r="O818" t="s">
        <v>15</v>
      </c>
    </row>
    <row r="819" spans="1:15" hidden="1" x14ac:dyDescent="0.35">
      <c r="A819" t="s">
        <v>1468</v>
      </c>
      <c r="B819" t="s">
        <v>1469</v>
      </c>
      <c r="C819">
        <v>50</v>
      </c>
      <c r="D819" s="8" t="str" cm="1">
        <f t="array" ref="D819">_xlfn.IFS(C819&lt;=2, "Infant", C819&lt;=11, "Child", C819&lt;=17, "Adolescent", C819&lt;=44, "Young Adult", C819&lt;=64, "Middle Aged", C819&lt;=84,"Young Old", C819&gt;=85,"Oldest Old")</f>
        <v>Middle Aged</v>
      </c>
      <c r="E819" t="s">
        <v>18</v>
      </c>
      <c r="F819" s="4">
        <v>45609</v>
      </c>
      <c r="G819" s="4">
        <v>45611</v>
      </c>
      <c r="H819" s="7">
        <f t="shared" si="36"/>
        <v>2</v>
      </c>
      <c r="I819" t="s">
        <v>60</v>
      </c>
      <c r="J819" t="s">
        <v>74</v>
      </c>
      <c r="K819" s="2">
        <v>3967.17</v>
      </c>
      <c r="L819" s="9">
        <v>0.9</v>
      </c>
      <c r="M819" s="15">
        <f t="shared" si="37"/>
        <v>3570.453</v>
      </c>
      <c r="N819" s="15">
        <f t="shared" si="38"/>
        <v>396.7170000000001</v>
      </c>
      <c r="O819" t="s">
        <v>15</v>
      </c>
    </row>
    <row r="820" spans="1:15" hidden="1" x14ac:dyDescent="0.35">
      <c r="A820" t="s">
        <v>1470</v>
      </c>
      <c r="B820" t="s">
        <v>1471</v>
      </c>
      <c r="C820">
        <v>30</v>
      </c>
      <c r="D820" s="8" t="str" cm="1">
        <f t="array" ref="D820">_xlfn.IFS(C820&lt;=2, "Infant", C820&lt;=11, "Child", C820&lt;=17, "Adolescent", C820&lt;=44, "Young Adult", C820&lt;=64, "Middle Aged", C820&lt;=84,"Young Old", C820&gt;=85,"Oldest Old")</f>
        <v>Young Adult</v>
      </c>
      <c r="E820" t="s">
        <v>18</v>
      </c>
      <c r="F820" s="4">
        <v>45602</v>
      </c>
      <c r="G820" s="4">
        <v>45606</v>
      </c>
      <c r="H820" s="7">
        <f t="shared" si="36"/>
        <v>4</v>
      </c>
      <c r="I820" t="s">
        <v>60</v>
      </c>
      <c r="J820" t="s">
        <v>97</v>
      </c>
      <c r="K820" s="2">
        <v>5430.38</v>
      </c>
      <c r="L820" s="9">
        <v>0.8</v>
      </c>
      <c r="M820" s="15">
        <f t="shared" si="37"/>
        <v>4344.3040000000001</v>
      </c>
      <c r="N820" s="15">
        <f t="shared" si="38"/>
        <v>1086.076</v>
      </c>
      <c r="O820" t="s">
        <v>15</v>
      </c>
    </row>
    <row r="821" spans="1:15" hidden="1" x14ac:dyDescent="0.35">
      <c r="A821" t="s">
        <v>1472</v>
      </c>
      <c r="B821" t="s">
        <v>856</v>
      </c>
      <c r="C821">
        <v>49</v>
      </c>
      <c r="D821" s="8" t="str" cm="1">
        <f t="array" ref="D821">_xlfn.IFS(C821&lt;=2, "Infant", C821&lt;=11, "Child", C821&lt;=17, "Adolescent", C821&lt;=44, "Young Adult", C821&lt;=64, "Middle Aged", C821&lt;=84,"Young Old", C821&gt;=85,"Oldest Old")</f>
        <v>Middle Aged</v>
      </c>
      <c r="E821" t="s">
        <v>18</v>
      </c>
      <c r="F821" s="4">
        <v>45588</v>
      </c>
      <c r="G821" s="4">
        <v>45594</v>
      </c>
      <c r="H821" s="7">
        <f t="shared" si="36"/>
        <v>6</v>
      </c>
      <c r="I821" t="s">
        <v>31</v>
      </c>
      <c r="J821" t="s">
        <v>35</v>
      </c>
      <c r="K821" s="2">
        <v>3153.91</v>
      </c>
      <c r="L821" s="9">
        <v>0.9</v>
      </c>
      <c r="M821" s="15">
        <f t="shared" si="37"/>
        <v>2838.5189999999998</v>
      </c>
      <c r="N821" s="15">
        <f t="shared" si="38"/>
        <v>315.39100000000008</v>
      </c>
      <c r="O821" t="s">
        <v>15</v>
      </c>
    </row>
    <row r="822" spans="1:15" hidden="1" x14ac:dyDescent="0.35">
      <c r="A822" t="s">
        <v>1473</v>
      </c>
      <c r="B822" t="s">
        <v>1474</v>
      </c>
      <c r="C822">
        <v>32</v>
      </c>
      <c r="D822" s="8" t="str" cm="1">
        <f t="array" ref="D822">_xlfn.IFS(C822&lt;=2, "Infant", C822&lt;=11, "Child", C822&lt;=17, "Adolescent", C822&lt;=44, "Young Adult", C822&lt;=64, "Middle Aged", C822&lt;=84,"Young Old", C822&gt;=85,"Oldest Old")</f>
        <v>Young Adult</v>
      </c>
      <c r="E822" t="s">
        <v>18</v>
      </c>
      <c r="F822" s="4">
        <v>45547</v>
      </c>
      <c r="G822" s="4">
        <v>45553</v>
      </c>
      <c r="H822" s="7">
        <f t="shared" si="36"/>
        <v>6</v>
      </c>
      <c r="I822" t="s">
        <v>31</v>
      </c>
      <c r="J822" t="s">
        <v>234</v>
      </c>
      <c r="K822" s="2">
        <v>4214.28</v>
      </c>
      <c r="L822" s="9">
        <v>0.8</v>
      </c>
      <c r="M822" s="15">
        <f t="shared" si="37"/>
        <v>3371.424</v>
      </c>
      <c r="N822" s="15">
        <f t="shared" si="38"/>
        <v>842.85599999999977</v>
      </c>
      <c r="O822" t="s">
        <v>15</v>
      </c>
    </row>
    <row r="823" spans="1:15" hidden="1" x14ac:dyDescent="0.35">
      <c r="A823" t="s">
        <v>1475</v>
      </c>
      <c r="B823" t="s">
        <v>820</v>
      </c>
      <c r="C823">
        <v>70</v>
      </c>
      <c r="D823" s="8" t="str" cm="1">
        <f t="array" ref="D823">_xlfn.IFS(C823&lt;=2, "Infant", C823&lt;=11, "Child", C823&lt;=17, "Adolescent", C823&lt;=44, "Young Adult", C823&lt;=64, "Middle Aged", C823&lt;=84,"Young Old", C823&gt;=85,"Oldest Old")</f>
        <v>Young Old</v>
      </c>
      <c r="E823" t="s">
        <v>12</v>
      </c>
      <c r="F823" s="4">
        <v>45947</v>
      </c>
      <c r="G823" s="4">
        <v>45950</v>
      </c>
      <c r="H823" s="7">
        <f t="shared" si="36"/>
        <v>3</v>
      </c>
      <c r="I823" t="s">
        <v>70</v>
      </c>
      <c r="J823" t="s">
        <v>194</v>
      </c>
      <c r="K823" s="2">
        <v>5898.39</v>
      </c>
      <c r="L823" s="9">
        <v>0.6</v>
      </c>
      <c r="M823" s="15">
        <f t="shared" si="37"/>
        <v>3539.0340000000001</v>
      </c>
      <c r="N823" s="15">
        <f t="shared" si="38"/>
        <v>2359.3560000000002</v>
      </c>
      <c r="O823" t="s">
        <v>20</v>
      </c>
    </row>
    <row r="824" spans="1:15" hidden="1" x14ac:dyDescent="0.35">
      <c r="A824" t="s">
        <v>1476</v>
      </c>
      <c r="B824" t="s">
        <v>40</v>
      </c>
      <c r="C824">
        <v>35</v>
      </c>
      <c r="D824" s="8" t="str" cm="1">
        <f t="array" ref="D824">_xlfn.IFS(C824&lt;=2, "Infant", C824&lt;=11, "Child", C824&lt;=17, "Adolescent", C824&lt;=44, "Young Adult", C824&lt;=64, "Middle Aged", C824&lt;=84,"Young Old", C824&gt;=85,"Oldest Old")</f>
        <v>Young Adult</v>
      </c>
      <c r="E824" t="s">
        <v>18</v>
      </c>
      <c r="F824" s="4">
        <v>45974</v>
      </c>
      <c r="G824" s="4">
        <v>45988</v>
      </c>
      <c r="H824" s="7">
        <f t="shared" si="36"/>
        <v>14</v>
      </c>
      <c r="I824" t="s">
        <v>60</v>
      </c>
      <c r="J824" t="s">
        <v>142</v>
      </c>
      <c r="K824" s="2">
        <v>32045.67</v>
      </c>
      <c r="L824" s="9">
        <v>0.8</v>
      </c>
      <c r="M824" s="15">
        <f t="shared" si="37"/>
        <v>25636.536</v>
      </c>
      <c r="N824" s="15">
        <f t="shared" si="38"/>
        <v>6409.1339999999982</v>
      </c>
      <c r="O824" t="s">
        <v>15</v>
      </c>
    </row>
    <row r="825" spans="1:15" hidden="1" x14ac:dyDescent="0.35">
      <c r="A825" t="s">
        <v>1477</v>
      </c>
      <c r="B825" t="s">
        <v>1216</v>
      </c>
      <c r="C825">
        <v>77</v>
      </c>
      <c r="D825" s="8" t="str" cm="1">
        <f t="array" ref="D825">_xlfn.IFS(C825&lt;=2, "Infant", C825&lt;=11, "Child", C825&lt;=17, "Adolescent", C825&lt;=44, "Young Adult", C825&lt;=64, "Middle Aged", C825&lt;=84,"Young Old", C825&gt;=85,"Oldest Old")</f>
        <v>Young Old</v>
      </c>
      <c r="E825" t="s">
        <v>12</v>
      </c>
      <c r="F825" s="4">
        <v>45383</v>
      </c>
      <c r="G825" s="4">
        <v>45388</v>
      </c>
      <c r="H825" s="7">
        <f t="shared" si="36"/>
        <v>5</v>
      </c>
      <c r="I825" t="s">
        <v>70</v>
      </c>
      <c r="J825" t="s">
        <v>237</v>
      </c>
      <c r="K825" s="2">
        <v>11916.1</v>
      </c>
      <c r="L825" s="9">
        <v>0.9</v>
      </c>
      <c r="M825" s="15">
        <f t="shared" si="37"/>
        <v>10724.49</v>
      </c>
      <c r="N825" s="15">
        <f t="shared" si="38"/>
        <v>1191.6100000000006</v>
      </c>
      <c r="O825" t="s">
        <v>15</v>
      </c>
    </row>
    <row r="826" spans="1:15" hidden="1" x14ac:dyDescent="0.35">
      <c r="A826" t="s">
        <v>1478</v>
      </c>
      <c r="B826" t="s">
        <v>1018</v>
      </c>
      <c r="C826">
        <v>26</v>
      </c>
      <c r="D826" s="8" t="str" cm="1">
        <f t="array" ref="D826">_xlfn.IFS(C826&lt;=2, "Infant", C826&lt;=11, "Child", C826&lt;=17, "Adolescent", C826&lt;=44, "Young Adult", C826&lt;=64, "Middle Aged", C826&lt;=84,"Young Old", C826&gt;=85,"Oldest Old")</f>
        <v>Young Adult</v>
      </c>
      <c r="E826" t="s">
        <v>18</v>
      </c>
      <c r="F826" s="4">
        <v>45611</v>
      </c>
      <c r="G826" s="4">
        <v>45618</v>
      </c>
      <c r="H826" s="7">
        <f t="shared" si="36"/>
        <v>7</v>
      </c>
      <c r="I826" t="s">
        <v>31</v>
      </c>
      <c r="J826" t="s">
        <v>114</v>
      </c>
      <c r="K826" s="2">
        <v>5499.8</v>
      </c>
      <c r="L826" s="9">
        <v>0.8</v>
      </c>
      <c r="M826" s="15">
        <f t="shared" si="37"/>
        <v>4399.84</v>
      </c>
      <c r="N826" s="15">
        <f t="shared" si="38"/>
        <v>1099.96</v>
      </c>
      <c r="O826" t="s">
        <v>20</v>
      </c>
    </row>
    <row r="827" spans="1:15" hidden="1" x14ac:dyDescent="0.35">
      <c r="A827" t="s">
        <v>1479</v>
      </c>
      <c r="B827" t="s">
        <v>922</v>
      </c>
      <c r="C827">
        <v>32</v>
      </c>
      <c r="D827" s="8" t="str" cm="1">
        <f t="array" ref="D827">_xlfn.IFS(C827&lt;=2, "Infant", C827&lt;=11, "Child", C827&lt;=17, "Adolescent", C827&lt;=44, "Young Adult", C827&lt;=64, "Middle Aged", C827&lt;=84,"Young Old", C827&gt;=85,"Oldest Old")</f>
        <v>Young Adult</v>
      </c>
      <c r="E827" t="s">
        <v>12</v>
      </c>
      <c r="F827" s="4">
        <v>45973</v>
      </c>
      <c r="G827" s="4">
        <v>45978</v>
      </c>
      <c r="H827" s="7">
        <f t="shared" si="36"/>
        <v>5</v>
      </c>
      <c r="I827" t="s">
        <v>70</v>
      </c>
      <c r="J827" t="s">
        <v>94</v>
      </c>
      <c r="K827" s="2">
        <v>8755.16</v>
      </c>
      <c r="L827" s="9">
        <v>0.5</v>
      </c>
      <c r="M827" s="15">
        <f t="shared" si="37"/>
        <v>4377.58</v>
      </c>
      <c r="N827" s="15">
        <f t="shared" si="38"/>
        <v>4377.58</v>
      </c>
      <c r="O827" t="s">
        <v>15</v>
      </c>
    </row>
    <row r="828" spans="1:15" hidden="1" x14ac:dyDescent="0.35">
      <c r="A828" t="s">
        <v>1480</v>
      </c>
      <c r="B828" t="s">
        <v>1481</v>
      </c>
      <c r="C828">
        <v>35</v>
      </c>
      <c r="D828" s="8" t="str" cm="1">
        <f t="array" ref="D828">_xlfn.IFS(C828&lt;=2, "Infant", C828&lt;=11, "Child", C828&lt;=17, "Adolescent", C828&lt;=44, "Young Adult", C828&lt;=64, "Middle Aged", C828&lt;=84,"Young Old", C828&gt;=85,"Oldest Old")</f>
        <v>Young Adult</v>
      </c>
      <c r="E828" t="s">
        <v>12</v>
      </c>
      <c r="F828" s="4">
        <v>45664</v>
      </c>
      <c r="G828" s="4">
        <v>45669</v>
      </c>
      <c r="H828" s="7">
        <f t="shared" si="36"/>
        <v>5</v>
      </c>
      <c r="I828" t="s">
        <v>31</v>
      </c>
      <c r="J828" t="s">
        <v>114</v>
      </c>
      <c r="K828" s="2">
        <v>3252.83</v>
      </c>
      <c r="L828" s="9">
        <v>0.7</v>
      </c>
      <c r="M828" s="15">
        <f t="shared" si="37"/>
        <v>2276.9809999999998</v>
      </c>
      <c r="N828" s="15">
        <f t="shared" si="38"/>
        <v>975.84900000000016</v>
      </c>
      <c r="O828" t="s">
        <v>25</v>
      </c>
    </row>
    <row r="829" spans="1:15" hidden="1" x14ac:dyDescent="0.35">
      <c r="A829" t="s">
        <v>1482</v>
      </c>
      <c r="B829" t="s">
        <v>488</v>
      </c>
      <c r="C829">
        <v>52</v>
      </c>
      <c r="D829" s="8" t="str" cm="1">
        <f t="array" ref="D829">_xlfn.IFS(C829&lt;=2, "Infant", C829&lt;=11, "Child", C829&lt;=17, "Adolescent", C829&lt;=44, "Young Adult", C829&lt;=64, "Middle Aged", C829&lt;=84,"Young Old", C829&gt;=85,"Oldest Old")</f>
        <v>Middle Aged</v>
      </c>
      <c r="E829" t="s">
        <v>18</v>
      </c>
      <c r="F829" s="4">
        <v>45938</v>
      </c>
      <c r="G829" s="4">
        <v>45943</v>
      </c>
      <c r="H829" s="7">
        <f t="shared" si="36"/>
        <v>5</v>
      </c>
      <c r="I829" t="s">
        <v>60</v>
      </c>
      <c r="J829" t="s">
        <v>77</v>
      </c>
      <c r="K829" s="2">
        <v>12778.56</v>
      </c>
      <c r="L829" s="9">
        <v>0.8</v>
      </c>
      <c r="M829" s="15">
        <f t="shared" si="37"/>
        <v>10222.848</v>
      </c>
      <c r="N829" s="15">
        <f t="shared" si="38"/>
        <v>2555.7119999999995</v>
      </c>
      <c r="O829" t="s">
        <v>20</v>
      </c>
    </row>
    <row r="830" spans="1:15" hidden="1" x14ac:dyDescent="0.35">
      <c r="A830" t="s">
        <v>1483</v>
      </c>
      <c r="B830" t="s">
        <v>256</v>
      </c>
      <c r="C830">
        <v>73</v>
      </c>
      <c r="D830" s="8" t="str" cm="1">
        <f t="array" ref="D830">_xlfn.IFS(C830&lt;=2, "Infant", C830&lt;=11, "Child", C830&lt;=17, "Adolescent", C830&lt;=44, "Young Adult", C830&lt;=64, "Middle Aged", C830&lt;=84,"Young Old", C830&gt;=85,"Oldest Old")</f>
        <v>Young Old</v>
      </c>
      <c r="E830" t="s">
        <v>12</v>
      </c>
      <c r="F830" s="4">
        <v>45973</v>
      </c>
      <c r="G830" s="4">
        <v>45985</v>
      </c>
      <c r="H830" s="7">
        <f t="shared" si="36"/>
        <v>12</v>
      </c>
      <c r="I830" t="s">
        <v>60</v>
      </c>
      <c r="J830" t="s">
        <v>74</v>
      </c>
      <c r="K830" s="2">
        <v>27830.62</v>
      </c>
      <c r="L830" s="9">
        <v>0.6</v>
      </c>
      <c r="M830" s="15">
        <f t="shared" si="37"/>
        <v>16698.371999999999</v>
      </c>
      <c r="N830" s="15">
        <f t="shared" si="38"/>
        <v>11132.248</v>
      </c>
      <c r="O830" t="s">
        <v>20</v>
      </c>
    </row>
    <row r="831" spans="1:15" hidden="1" x14ac:dyDescent="0.35">
      <c r="A831" t="s">
        <v>1484</v>
      </c>
      <c r="B831" t="s">
        <v>525</v>
      </c>
      <c r="C831">
        <v>5</v>
      </c>
      <c r="D831" s="8" t="str" cm="1">
        <f t="array" ref="D831">_xlfn.IFS(C831&lt;=2, "Infant", C831&lt;=11, "Child", C831&lt;=17, "Adolescent", C831&lt;=44, "Young Adult", C831&lt;=64, "Middle Aged", C831&lt;=84,"Young Old", C831&gt;=85,"Oldest Old")</f>
        <v>Child</v>
      </c>
      <c r="E831" t="s">
        <v>12</v>
      </c>
      <c r="F831" s="4">
        <v>45860</v>
      </c>
      <c r="G831" s="4">
        <v>45864</v>
      </c>
      <c r="H831" s="7">
        <f t="shared" si="36"/>
        <v>4</v>
      </c>
      <c r="I831" t="s">
        <v>49</v>
      </c>
      <c r="J831" t="s">
        <v>378</v>
      </c>
      <c r="K831" s="2">
        <v>4474.62</v>
      </c>
      <c r="L831" s="9">
        <v>1</v>
      </c>
      <c r="M831" s="15">
        <f t="shared" si="37"/>
        <v>4474.62</v>
      </c>
      <c r="N831" s="15">
        <f t="shared" si="38"/>
        <v>0</v>
      </c>
      <c r="O831" t="s">
        <v>20</v>
      </c>
    </row>
    <row r="832" spans="1:15" hidden="1" x14ac:dyDescent="0.35">
      <c r="A832" t="s">
        <v>1485</v>
      </c>
      <c r="B832" t="s">
        <v>1486</v>
      </c>
      <c r="C832">
        <v>13</v>
      </c>
      <c r="D832" s="8" t="str" cm="1">
        <f t="array" ref="D832">_xlfn.IFS(C832&lt;=2, "Infant", C832&lt;=11, "Child", C832&lt;=17, "Adolescent", C832&lt;=44, "Young Adult", C832&lt;=64, "Middle Aged", C832&lt;=84,"Young Old", C832&gt;=85,"Oldest Old")</f>
        <v>Adolescent</v>
      </c>
      <c r="E832" t="s">
        <v>12</v>
      </c>
      <c r="F832" s="4">
        <v>45658</v>
      </c>
      <c r="G832" s="4">
        <v>45662</v>
      </c>
      <c r="H832" s="7">
        <f t="shared" si="36"/>
        <v>4</v>
      </c>
      <c r="I832" t="s">
        <v>49</v>
      </c>
      <c r="J832" t="s">
        <v>378</v>
      </c>
      <c r="K832" s="2">
        <v>3553.09</v>
      </c>
      <c r="L832" s="9">
        <v>0.6</v>
      </c>
      <c r="M832" s="15">
        <f t="shared" si="37"/>
        <v>2131.8539999999998</v>
      </c>
      <c r="N832" s="15">
        <f t="shared" si="38"/>
        <v>1421.2360000000003</v>
      </c>
      <c r="O832" t="s">
        <v>20</v>
      </c>
    </row>
    <row r="833" spans="1:15" hidden="1" x14ac:dyDescent="0.35">
      <c r="A833" t="s">
        <v>1487</v>
      </c>
      <c r="B833" t="s">
        <v>1488</v>
      </c>
      <c r="C833">
        <v>16</v>
      </c>
      <c r="D833" s="8" t="str" cm="1">
        <f t="array" ref="D833">_xlfn.IFS(C833&lt;=2, "Infant", C833&lt;=11, "Child", C833&lt;=17, "Adolescent", C833&lt;=44, "Young Adult", C833&lt;=64, "Middle Aged", C833&lt;=84,"Young Old", C833&gt;=85,"Oldest Old")</f>
        <v>Adolescent</v>
      </c>
      <c r="E833" t="s">
        <v>12</v>
      </c>
      <c r="F833" s="4">
        <v>45952</v>
      </c>
      <c r="G833" s="4">
        <v>45954</v>
      </c>
      <c r="H833" s="7">
        <f t="shared" si="36"/>
        <v>2</v>
      </c>
      <c r="I833" t="s">
        <v>49</v>
      </c>
      <c r="J833" t="s">
        <v>117</v>
      </c>
      <c r="K833" s="2">
        <v>2767.65</v>
      </c>
      <c r="L833" s="9">
        <v>0.7</v>
      </c>
      <c r="M833" s="15">
        <f t="shared" si="37"/>
        <v>1937.355</v>
      </c>
      <c r="N833" s="15">
        <f t="shared" si="38"/>
        <v>830.29500000000007</v>
      </c>
      <c r="O833" t="s">
        <v>15</v>
      </c>
    </row>
    <row r="834" spans="1:15" hidden="1" x14ac:dyDescent="0.35">
      <c r="A834" t="s">
        <v>1489</v>
      </c>
      <c r="B834" t="s">
        <v>672</v>
      </c>
      <c r="C834">
        <v>14</v>
      </c>
      <c r="D834" s="8" t="str" cm="1">
        <f t="array" ref="D834">_xlfn.IFS(C834&lt;=2, "Infant", C834&lt;=11, "Child", C834&lt;=17, "Adolescent", C834&lt;=44, "Young Adult", C834&lt;=64, "Middle Aged", C834&lt;=84,"Young Old", C834&gt;=85,"Oldest Old")</f>
        <v>Adolescent</v>
      </c>
      <c r="E834" t="s">
        <v>12</v>
      </c>
      <c r="F834" s="4">
        <v>45452</v>
      </c>
      <c r="G834" s="4">
        <v>45454</v>
      </c>
      <c r="H834" s="7">
        <f t="shared" si="36"/>
        <v>2</v>
      </c>
      <c r="I834" t="s">
        <v>49</v>
      </c>
      <c r="J834" t="s">
        <v>50</v>
      </c>
      <c r="K834" s="2">
        <v>2721.43</v>
      </c>
      <c r="L834" s="9">
        <v>0.8</v>
      </c>
      <c r="M834" s="15">
        <f t="shared" si="37"/>
        <v>2177.1439999999998</v>
      </c>
      <c r="N834" s="15">
        <f t="shared" si="38"/>
        <v>544.28600000000006</v>
      </c>
      <c r="O834" t="s">
        <v>15</v>
      </c>
    </row>
    <row r="835" spans="1:15" hidden="1" x14ac:dyDescent="0.35">
      <c r="A835" t="s">
        <v>1490</v>
      </c>
      <c r="B835" t="s">
        <v>1491</v>
      </c>
      <c r="C835">
        <v>21</v>
      </c>
      <c r="D835" s="8" t="str" cm="1">
        <f t="array" ref="D835">_xlfn.IFS(C835&lt;=2, "Infant", C835&lt;=11, "Child", C835&lt;=17, "Adolescent", C835&lt;=44, "Young Adult", C835&lt;=64, "Middle Aged", C835&lt;=84,"Young Old", C835&gt;=85,"Oldest Old")</f>
        <v>Young Adult</v>
      </c>
      <c r="E835" t="s">
        <v>18</v>
      </c>
      <c r="F835" s="4">
        <v>45573</v>
      </c>
      <c r="G835" s="4">
        <v>45576</v>
      </c>
      <c r="H835" s="7">
        <f t="shared" ref="H835:H898" si="39">DATEDIF(F835,G835,"D")</f>
        <v>3</v>
      </c>
      <c r="I835" t="s">
        <v>23</v>
      </c>
      <c r="J835" t="s">
        <v>204</v>
      </c>
      <c r="K835" s="2">
        <v>2887.15</v>
      </c>
      <c r="L835" s="9">
        <v>0.9</v>
      </c>
      <c r="M835" s="15">
        <f t="shared" ref="M835:M898" si="40">L835*K835</f>
        <v>2598.4349999999999</v>
      </c>
      <c r="N835" s="15">
        <f t="shared" ref="N835:N898" si="41">K835-M835</f>
        <v>288.71500000000015</v>
      </c>
      <c r="O835" t="s">
        <v>25</v>
      </c>
    </row>
    <row r="836" spans="1:15" hidden="1" x14ac:dyDescent="0.35">
      <c r="A836" t="s">
        <v>1492</v>
      </c>
      <c r="B836" t="s">
        <v>1493</v>
      </c>
      <c r="C836">
        <v>29</v>
      </c>
      <c r="D836" s="8" t="str" cm="1">
        <f t="array" ref="D836">_xlfn.IFS(C836&lt;=2, "Infant", C836&lt;=11, "Child", C836&lt;=17, "Adolescent", C836&lt;=44, "Young Adult", C836&lt;=64, "Middle Aged", C836&lt;=84,"Young Old", C836&gt;=85,"Oldest Old")</f>
        <v>Young Adult</v>
      </c>
      <c r="E836" t="s">
        <v>12</v>
      </c>
      <c r="F836" s="4">
        <v>45552</v>
      </c>
      <c r="G836" s="4">
        <v>45555</v>
      </c>
      <c r="H836" s="7">
        <f t="shared" si="39"/>
        <v>3</v>
      </c>
      <c r="I836" t="s">
        <v>23</v>
      </c>
      <c r="J836" t="s">
        <v>24</v>
      </c>
      <c r="K836" s="2">
        <v>7071.48</v>
      </c>
      <c r="L836" s="9">
        <v>0.8</v>
      </c>
      <c r="M836" s="15">
        <f t="shared" si="40"/>
        <v>5657.1840000000002</v>
      </c>
      <c r="N836" s="15">
        <f t="shared" si="41"/>
        <v>1414.2959999999994</v>
      </c>
      <c r="O836" t="s">
        <v>15</v>
      </c>
    </row>
    <row r="837" spans="1:15" hidden="1" x14ac:dyDescent="0.35">
      <c r="A837" t="s">
        <v>1494</v>
      </c>
      <c r="B837" t="s">
        <v>1495</v>
      </c>
      <c r="C837">
        <v>72</v>
      </c>
      <c r="D837" s="8" t="str" cm="1">
        <f t="array" ref="D837">_xlfn.IFS(C837&lt;=2, "Infant", C837&lt;=11, "Child", C837&lt;=17, "Adolescent", C837&lt;=44, "Young Adult", C837&lt;=64, "Middle Aged", C837&lt;=84,"Young Old", C837&gt;=85,"Oldest Old")</f>
        <v>Young Old</v>
      </c>
      <c r="E837" t="s">
        <v>18</v>
      </c>
      <c r="F837" s="4">
        <v>45300</v>
      </c>
      <c r="G837" s="4">
        <v>45304</v>
      </c>
      <c r="H837" s="7">
        <f t="shared" si="39"/>
        <v>4</v>
      </c>
      <c r="I837" t="s">
        <v>13</v>
      </c>
      <c r="J837" t="s">
        <v>165</v>
      </c>
      <c r="K837" s="2">
        <v>8289.81</v>
      </c>
      <c r="L837" s="9">
        <v>0.8</v>
      </c>
      <c r="M837" s="15">
        <f t="shared" si="40"/>
        <v>6631.848</v>
      </c>
      <c r="N837" s="15">
        <f t="shared" si="41"/>
        <v>1657.9619999999995</v>
      </c>
      <c r="O837" t="s">
        <v>15</v>
      </c>
    </row>
    <row r="838" spans="1:15" hidden="1" x14ac:dyDescent="0.35">
      <c r="A838" t="s">
        <v>1496</v>
      </c>
      <c r="B838" t="s">
        <v>527</v>
      </c>
      <c r="C838">
        <v>20</v>
      </c>
      <c r="D838" s="8" t="str" cm="1">
        <f t="array" ref="D838">_xlfn.IFS(C838&lt;=2, "Infant", C838&lt;=11, "Child", C838&lt;=17, "Adolescent", C838&lt;=44, "Young Adult", C838&lt;=64, "Middle Aged", C838&lt;=84,"Young Old", C838&gt;=85,"Oldest Old")</f>
        <v>Young Adult</v>
      </c>
      <c r="E838" t="s">
        <v>18</v>
      </c>
      <c r="F838" s="4">
        <v>45844</v>
      </c>
      <c r="G838" s="4">
        <v>45847</v>
      </c>
      <c r="H838" s="7">
        <f t="shared" si="39"/>
        <v>3</v>
      </c>
      <c r="I838" t="s">
        <v>31</v>
      </c>
      <c r="J838" t="s">
        <v>114</v>
      </c>
      <c r="K838" s="2">
        <v>1605.53</v>
      </c>
      <c r="L838" s="9">
        <v>0.8</v>
      </c>
      <c r="M838" s="15">
        <f t="shared" si="40"/>
        <v>1284.424</v>
      </c>
      <c r="N838" s="15">
        <f t="shared" si="41"/>
        <v>321.10599999999999</v>
      </c>
      <c r="O838" t="s">
        <v>15</v>
      </c>
    </row>
    <row r="839" spans="1:15" hidden="1" x14ac:dyDescent="0.35">
      <c r="A839" t="s">
        <v>1497</v>
      </c>
      <c r="B839" t="s">
        <v>86</v>
      </c>
      <c r="C839">
        <v>26</v>
      </c>
      <c r="D839" s="8" t="str" cm="1">
        <f t="array" ref="D839">_xlfn.IFS(C839&lt;=2, "Infant", C839&lt;=11, "Child", C839&lt;=17, "Adolescent", C839&lt;=44, "Young Adult", C839&lt;=64, "Middle Aged", C839&lt;=84,"Young Old", C839&gt;=85,"Oldest Old")</f>
        <v>Young Adult</v>
      </c>
      <c r="E839" t="s">
        <v>18</v>
      </c>
      <c r="F839" s="4">
        <v>45672</v>
      </c>
      <c r="G839" s="4">
        <v>45675</v>
      </c>
      <c r="H839" s="7">
        <f t="shared" si="39"/>
        <v>3</v>
      </c>
      <c r="I839" t="s">
        <v>31</v>
      </c>
      <c r="J839" t="s">
        <v>114</v>
      </c>
      <c r="K839" s="2">
        <v>3803.99</v>
      </c>
      <c r="L839" s="9">
        <v>0.5</v>
      </c>
      <c r="M839" s="15">
        <f t="shared" si="40"/>
        <v>1901.9949999999999</v>
      </c>
      <c r="N839" s="15">
        <f t="shared" si="41"/>
        <v>1901.9949999999999</v>
      </c>
      <c r="O839" t="s">
        <v>25</v>
      </c>
    </row>
    <row r="840" spans="1:15" hidden="1" x14ac:dyDescent="0.35">
      <c r="A840" t="s">
        <v>1498</v>
      </c>
      <c r="B840" t="s">
        <v>1499</v>
      </c>
      <c r="C840">
        <v>41</v>
      </c>
      <c r="D840" s="8" t="str" cm="1">
        <f t="array" ref="D840">_xlfn.IFS(C840&lt;=2, "Infant", C840&lt;=11, "Child", C840&lt;=17, "Adolescent", C840&lt;=44, "Young Adult", C840&lt;=64, "Middle Aged", C840&lt;=84,"Young Old", C840&gt;=85,"Oldest Old")</f>
        <v>Young Adult</v>
      </c>
      <c r="E840" t="s">
        <v>18</v>
      </c>
      <c r="F840" s="4">
        <v>45913</v>
      </c>
      <c r="G840" s="4">
        <v>45919</v>
      </c>
      <c r="H840" s="7">
        <f t="shared" si="39"/>
        <v>6</v>
      </c>
      <c r="I840" t="s">
        <v>60</v>
      </c>
      <c r="J840" t="s">
        <v>142</v>
      </c>
      <c r="K840" s="2">
        <v>11654.43</v>
      </c>
      <c r="L840" s="9">
        <v>0</v>
      </c>
      <c r="M840" s="15">
        <f t="shared" si="40"/>
        <v>0</v>
      </c>
      <c r="N840" s="15">
        <f t="shared" si="41"/>
        <v>11654.43</v>
      </c>
      <c r="O840" t="s">
        <v>25</v>
      </c>
    </row>
    <row r="841" spans="1:15" hidden="1" x14ac:dyDescent="0.35">
      <c r="A841" t="s">
        <v>1500</v>
      </c>
      <c r="B841" t="s">
        <v>1501</v>
      </c>
      <c r="C841">
        <v>1</v>
      </c>
      <c r="D841" s="8" t="str" cm="1">
        <f t="array" ref="D841">_xlfn.IFS(C841&lt;=2, "Infant", C841&lt;=11, "Child", C841&lt;=17, "Adolescent", C841&lt;=44, "Young Adult", C841&lt;=64, "Middle Aged", C841&lt;=84,"Young Old", C841&gt;=85,"Oldest Old")</f>
        <v>Infant</v>
      </c>
      <c r="E841" t="s">
        <v>12</v>
      </c>
      <c r="F841" s="4">
        <v>46004</v>
      </c>
      <c r="G841" s="4">
        <v>46006</v>
      </c>
      <c r="H841" s="7">
        <f t="shared" si="39"/>
        <v>2</v>
      </c>
      <c r="I841" t="s">
        <v>49</v>
      </c>
      <c r="J841" t="s">
        <v>130</v>
      </c>
      <c r="K841" s="2">
        <v>3542.96</v>
      </c>
      <c r="L841" s="9">
        <v>0.8</v>
      </c>
      <c r="M841" s="15">
        <f t="shared" si="40"/>
        <v>2834.3680000000004</v>
      </c>
      <c r="N841" s="15">
        <f t="shared" si="41"/>
        <v>708.59199999999964</v>
      </c>
      <c r="O841" t="s">
        <v>25</v>
      </c>
    </row>
    <row r="842" spans="1:15" hidden="1" x14ac:dyDescent="0.35">
      <c r="A842" t="s">
        <v>1502</v>
      </c>
      <c r="B842" t="s">
        <v>286</v>
      </c>
      <c r="C842">
        <v>1</v>
      </c>
      <c r="D842" s="8" t="str" cm="1">
        <f t="array" ref="D842">_xlfn.IFS(C842&lt;=2, "Infant", C842&lt;=11, "Child", C842&lt;=17, "Adolescent", C842&lt;=44, "Young Adult", C842&lt;=64, "Middle Aged", C842&lt;=84,"Young Old", C842&gt;=85,"Oldest Old")</f>
        <v>Infant</v>
      </c>
      <c r="E842" t="s">
        <v>12</v>
      </c>
      <c r="F842" s="4">
        <v>45997</v>
      </c>
      <c r="G842" s="4">
        <v>46002</v>
      </c>
      <c r="H842" s="7">
        <f t="shared" si="39"/>
        <v>5</v>
      </c>
      <c r="I842" t="s">
        <v>49</v>
      </c>
      <c r="J842" t="s">
        <v>120</v>
      </c>
      <c r="K842" s="2">
        <v>6340.11</v>
      </c>
      <c r="L842" s="9">
        <v>0.7</v>
      </c>
      <c r="M842" s="15">
        <f t="shared" si="40"/>
        <v>4438.0769999999993</v>
      </c>
      <c r="N842" s="15">
        <f t="shared" si="41"/>
        <v>1902.0330000000004</v>
      </c>
      <c r="O842" t="s">
        <v>20</v>
      </c>
    </row>
    <row r="843" spans="1:15" hidden="1" x14ac:dyDescent="0.35">
      <c r="A843" t="s">
        <v>1503</v>
      </c>
      <c r="B843" t="s">
        <v>1504</v>
      </c>
      <c r="C843">
        <v>31</v>
      </c>
      <c r="D843" s="8" t="str" cm="1">
        <f t="array" ref="D843">_xlfn.IFS(C843&lt;=2, "Infant", C843&lt;=11, "Child", C843&lt;=17, "Adolescent", C843&lt;=44, "Young Adult", C843&lt;=64, "Middle Aged", C843&lt;=84,"Young Old", C843&gt;=85,"Oldest Old")</f>
        <v>Young Adult</v>
      </c>
      <c r="E843" t="s">
        <v>12</v>
      </c>
      <c r="F843" s="4">
        <v>45386</v>
      </c>
      <c r="G843" s="4">
        <v>45399</v>
      </c>
      <c r="H843" s="7">
        <f t="shared" si="39"/>
        <v>13</v>
      </c>
      <c r="I843" t="s">
        <v>60</v>
      </c>
      <c r="J843" t="s">
        <v>97</v>
      </c>
      <c r="K843" s="2">
        <v>33330.199999999997</v>
      </c>
      <c r="L843" s="9">
        <v>0.6</v>
      </c>
      <c r="M843" s="15">
        <f t="shared" si="40"/>
        <v>19998.12</v>
      </c>
      <c r="N843" s="15">
        <f t="shared" si="41"/>
        <v>13332.079999999998</v>
      </c>
      <c r="O843" t="s">
        <v>15</v>
      </c>
    </row>
    <row r="844" spans="1:15" hidden="1" x14ac:dyDescent="0.35">
      <c r="A844" t="s">
        <v>1505</v>
      </c>
      <c r="B844" t="s">
        <v>1107</v>
      </c>
      <c r="C844">
        <v>35</v>
      </c>
      <c r="D844" s="8" t="str" cm="1">
        <f t="array" ref="D844">_xlfn.IFS(C844&lt;=2, "Infant", C844&lt;=11, "Child", C844&lt;=17, "Adolescent", C844&lt;=44, "Young Adult", C844&lt;=64, "Middle Aged", C844&lt;=84,"Young Old", C844&gt;=85,"Oldest Old")</f>
        <v>Young Adult</v>
      </c>
      <c r="E844" t="s">
        <v>18</v>
      </c>
      <c r="F844" s="4">
        <v>45649</v>
      </c>
      <c r="G844" s="4">
        <v>45652</v>
      </c>
      <c r="H844" s="7">
        <f t="shared" si="39"/>
        <v>3</v>
      </c>
      <c r="I844" t="s">
        <v>60</v>
      </c>
      <c r="J844" t="s">
        <v>77</v>
      </c>
      <c r="K844" s="2">
        <v>4622.9399999999996</v>
      </c>
      <c r="L844" s="9">
        <v>0.9</v>
      </c>
      <c r="M844" s="15">
        <f t="shared" si="40"/>
        <v>4160.6459999999997</v>
      </c>
      <c r="N844" s="15">
        <f t="shared" si="41"/>
        <v>462.29399999999987</v>
      </c>
      <c r="O844" t="s">
        <v>15</v>
      </c>
    </row>
    <row r="845" spans="1:15" hidden="1" x14ac:dyDescent="0.35">
      <c r="A845" t="s">
        <v>1506</v>
      </c>
      <c r="B845" t="s">
        <v>1507</v>
      </c>
      <c r="C845">
        <v>2</v>
      </c>
      <c r="D845" s="8" t="str" cm="1">
        <f t="array" ref="D845">_xlfn.IFS(C845&lt;=2, "Infant", C845&lt;=11, "Child", C845&lt;=17, "Adolescent", C845&lt;=44, "Young Adult", C845&lt;=64, "Middle Aged", C845&lt;=84,"Young Old", C845&gt;=85,"Oldest Old")</f>
        <v>Infant</v>
      </c>
      <c r="E845" t="s">
        <v>12</v>
      </c>
      <c r="F845" s="4">
        <v>45472</v>
      </c>
      <c r="G845" s="4">
        <v>45477</v>
      </c>
      <c r="H845" s="7">
        <f t="shared" si="39"/>
        <v>5</v>
      </c>
      <c r="I845" t="s">
        <v>49</v>
      </c>
      <c r="J845" t="s">
        <v>123</v>
      </c>
      <c r="K845" s="2">
        <v>6314.88</v>
      </c>
      <c r="L845" s="9">
        <v>0.7</v>
      </c>
      <c r="M845" s="15">
        <f t="shared" si="40"/>
        <v>4420.4160000000002</v>
      </c>
      <c r="N845" s="15">
        <f t="shared" si="41"/>
        <v>1894.4639999999999</v>
      </c>
      <c r="O845" t="s">
        <v>15</v>
      </c>
    </row>
    <row r="846" spans="1:15" hidden="1" x14ac:dyDescent="0.35">
      <c r="A846" t="s">
        <v>1508</v>
      </c>
      <c r="B846" t="s">
        <v>1509</v>
      </c>
      <c r="C846">
        <v>25</v>
      </c>
      <c r="D846" s="8" t="str" cm="1">
        <f t="array" ref="D846">_xlfn.IFS(C846&lt;=2, "Infant", C846&lt;=11, "Child", C846&lt;=17, "Adolescent", C846&lt;=44, "Young Adult", C846&lt;=64, "Middle Aged", C846&lt;=84,"Young Old", C846&gt;=85,"Oldest Old")</f>
        <v>Young Adult</v>
      </c>
      <c r="E846" t="s">
        <v>12</v>
      </c>
      <c r="F846" s="4">
        <v>45409</v>
      </c>
      <c r="G846" s="4">
        <v>45423</v>
      </c>
      <c r="H846" s="7">
        <f t="shared" si="39"/>
        <v>14</v>
      </c>
      <c r="I846" t="s">
        <v>60</v>
      </c>
      <c r="J846" t="s">
        <v>97</v>
      </c>
      <c r="K846" s="2">
        <v>25971.47</v>
      </c>
      <c r="L846" s="9">
        <v>0.8</v>
      </c>
      <c r="M846" s="15">
        <f t="shared" si="40"/>
        <v>20777.176000000003</v>
      </c>
      <c r="N846" s="15">
        <f t="shared" si="41"/>
        <v>5194.2939999999981</v>
      </c>
      <c r="O846" t="s">
        <v>20</v>
      </c>
    </row>
    <row r="847" spans="1:15" hidden="1" x14ac:dyDescent="0.35">
      <c r="A847" t="s">
        <v>1510</v>
      </c>
      <c r="B847" t="s">
        <v>1341</v>
      </c>
      <c r="C847">
        <v>44</v>
      </c>
      <c r="D847" s="8" t="str" cm="1">
        <f t="array" ref="D847">_xlfn.IFS(C847&lt;=2, "Infant", C847&lt;=11, "Child", C847&lt;=17, "Adolescent", C847&lt;=44, "Young Adult", C847&lt;=64, "Middle Aged", C847&lt;=84,"Young Old", C847&gt;=85,"Oldest Old")</f>
        <v>Young Adult</v>
      </c>
      <c r="E847" t="s">
        <v>18</v>
      </c>
      <c r="F847" s="4">
        <v>45346</v>
      </c>
      <c r="G847" s="4">
        <v>45351</v>
      </c>
      <c r="H847" s="7">
        <f t="shared" si="39"/>
        <v>5</v>
      </c>
      <c r="I847" t="s">
        <v>31</v>
      </c>
      <c r="J847" t="s">
        <v>234</v>
      </c>
      <c r="K847" s="2">
        <v>2926.43</v>
      </c>
      <c r="L847" s="9">
        <v>0.9</v>
      </c>
      <c r="M847" s="15">
        <f t="shared" si="40"/>
        <v>2633.7869999999998</v>
      </c>
      <c r="N847" s="15">
        <f t="shared" si="41"/>
        <v>292.64300000000003</v>
      </c>
      <c r="O847" t="s">
        <v>15</v>
      </c>
    </row>
    <row r="848" spans="1:15" hidden="1" x14ac:dyDescent="0.35">
      <c r="A848" t="s">
        <v>1511</v>
      </c>
      <c r="B848" t="s">
        <v>1512</v>
      </c>
      <c r="C848">
        <v>39</v>
      </c>
      <c r="D848" s="8" t="str" cm="1">
        <f t="array" ref="D848">_xlfn.IFS(C848&lt;=2, "Infant", C848&lt;=11, "Child", C848&lt;=17, "Adolescent", C848&lt;=44, "Young Adult", C848&lt;=64, "Middle Aged", C848&lt;=84,"Young Old", C848&gt;=85,"Oldest Old")</f>
        <v>Young Adult</v>
      </c>
      <c r="E848" t="s">
        <v>12</v>
      </c>
      <c r="F848" s="4">
        <v>45931</v>
      </c>
      <c r="G848" s="4">
        <v>45936</v>
      </c>
      <c r="H848" s="7">
        <f t="shared" si="39"/>
        <v>5</v>
      </c>
      <c r="I848" t="s">
        <v>31</v>
      </c>
      <c r="J848" t="s">
        <v>44</v>
      </c>
      <c r="K848" s="2">
        <v>6712.97</v>
      </c>
      <c r="L848" s="9">
        <v>0.8</v>
      </c>
      <c r="M848" s="15">
        <f t="shared" si="40"/>
        <v>5370.3760000000002</v>
      </c>
      <c r="N848" s="15">
        <f t="shared" si="41"/>
        <v>1342.5940000000001</v>
      </c>
      <c r="O848" t="s">
        <v>20</v>
      </c>
    </row>
    <row r="849" spans="1:15" hidden="1" x14ac:dyDescent="0.35">
      <c r="A849" t="s">
        <v>1513</v>
      </c>
      <c r="B849" t="s">
        <v>1455</v>
      </c>
      <c r="C849">
        <v>72</v>
      </c>
      <c r="D849" s="8" t="str" cm="1">
        <f t="array" ref="D849">_xlfn.IFS(C849&lt;=2, "Infant", C849&lt;=11, "Child", C849&lt;=17, "Adolescent", C849&lt;=44, "Young Adult", C849&lt;=64, "Middle Aged", C849&lt;=84,"Young Old", C849&gt;=85,"Oldest Old")</f>
        <v>Young Old</v>
      </c>
      <c r="E849" t="s">
        <v>18</v>
      </c>
      <c r="F849" s="4">
        <v>45539</v>
      </c>
      <c r="G849" s="4">
        <v>45542</v>
      </c>
      <c r="H849" s="7">
        <f t="shared" si="39"/>
        <v>3</v>
      </c>
      <c r="I849" t="s">
        <v>31</v>
      </c>
      <c r="J849" t="s">
        <v>35</v>
      </c>
      <c r="K849" s="2">
        <v>3235.11</v>
      </c>
      <c r="L849" s="9">
        <v>0.8</v>
      </c>
      <c r="M849" s="15">
        <f t="shared" si="40"/>
        <v>2588.0880000000002</v>
      </c>
      <c r="N849" s="15">
        <f t="shared" si="41"/>
        <v>647.02199999999993</v>
      </c>
      <c r="O849" t="s">
        <v>15</v>
      </c>
    </row>
    <row r="850" spans="1:15" hidden="1" x14ac:dyDescent="0.35">
      <c r="A850" t="s">
        <v>1514</v>
      </c>
      <c r="B850" t="s">
        <v>1515</v>
      </c>
      <c r="C850">
        <v>64</v>
      </c>
      <c r="D850" s="8" t="str" cm="1">
        <f t="array" ref="D850">_xlfn.IFS(C850&lt;=2, "Infant", C850&lt;=11, "Child", C850&lt;=17, "Adolescent", C850&lt;=44, "Young Adult", C850&lt;=64, "Middle Aged", C850&lt;=84,"Young Old", C850&gt;=85,"Oldest Old")</f>
        <v>Middle Aged</v>
      </c>
      <c r="E850" t="s">
        <v>12</v>
      </c>
      <c r="F850" s="4">
        <v>45969</v>
      </c>
      <c r="G850" s="4">
        <v>45970</v>
      </c>
      <c r="H850" s="7">
        <f t="shared" si="39"/>
        <v>1</v>
      </c>
      <c r="I850" t="s">
        <v>23</v>
      </c>
      <c r="J850" t="s">
        <v>41</v>
      </c>
      <c r="K850" s="2">
        <v>1023.76</v>
      </c>
      <c r="L850" s="9">
        <v>1</v>
      </c>
      <c r="M850" s="15">
        <f t="shared" si="40"/>
        <v>1023.76</v>
      </c>
      <c r="N850" s="15">
        <f t="shared" si="41"/>
        <v>0</v>
      </c>
      <c r="O850" t="s">
        <v>15</v>
      </c>
    </row>
    <row r="851" spans="1:15" hidden="1" x14ac:dyDescent="0.35">
      <c r="A851" t="s">
        <v>1516</v>
      </c>
      <c r="B851" t="s">
        <v>969</v>
      </c>
      <c r="C851">
        <v>15</v>
      </c>
      <c r="D851" s="8" t="str" cm="1">
        <f t="array" ref="D851">_xlfn.IFS(C851&lt;=2, "Infant", C851&lt;=11, "Child", C851&lt;=17, "Adolescent", C851&lt;=44, "Young Adult", C851&lt;=64, "Middle Aged", C851&lt;=84,"Young Old", C851&gt;=85,"Oldest Old")</f>
        <v>Adolescent</v>
      </c>
      <c r="E851" t="s">
        <v>18</v>
      </c>
      <c r="F851" s="4">
        <v>45731</v>
      </c>
      <c r="G851" s="4">
        <v>45736</v>
      </c>
      <c r="H851" s="7">
        <f t="shared" si="39"/>
        <v>5</v>
      </c>
      <c r="I851" t="s">
        <v>49</v>
      </c>
      <c r="J851" t="s">
        <v>117</v>
      </c>
      <c r="K851" s="2">
        <v>3307.88</v>
      </c>
      <c r="L851" s="9">
        <v>0.8</v>
      </c>
      <c r="M851" s="15">
        <f t="shared" si="40"/>
        <v>2646.3040000000001</v>
      </c>
      <c r="N851" s="15">
        <f t="shared" si="41"/>
        <v>661.57600000000002</v>
      </c>
      <c r="O851" t="s">
        <v>25</v>
      </c>
    </row>
    <row r="852" spans="1:15" hidden="1" x14ac:dyDescent="0.35">
      <c r="A852" t="s">
        <v>1517</v>
      </c>
      <c r="B852" t="s">
        <v>1518</v>
      </c>
      <c r="C852">
        <v>1</v>
      </c>
      <c r="D852" s="8" t="str" cm="1">
        <f t="array" ref="D852">_xlfn.IFS(C852&lt;=2, "Infant", C852&lt;=11, "Child", C852&lt;=17, "Adolescent", C852&lt;=44, "Young Adult", C852&lt;=64, "Middle Aged", C852&lt;=84,"Young Old", C852&gt;=85,"Oldest Old")</f>
        <v>Infant</v>
      </c>
      <c r="E852" t="s">
        <v>12</v>
      </c>
      <c r="F852" s="4">
        <v>45364</v>
      </c>
      <c r="G852" s="4">
        <v>45366</v>
      </c>
      <c r="H852" s="7">
        <f t="shared" si="39"/>
        <v>2</v>
      </c>
      <c r="I852" t="s">
        <v>49</v>
      </c>
      <c r="J852" t="s">
        <v>117</v>
      </c>
      <c r="K852" s="2">
        <v>2503.98</v>
      </c>
      <c r="L852" s="9">
        <v>0.5</v>
      </c>
      <c r="M852" s="15">
        <f t="shared" si="40"/>
        <v>1251.99</v>
      </c>
      <c r="N852" s="15">
        <f t="shared" si="41"/>
        <v>1251.99</v>
      </c>
      <c r="O852" t="s">
        <v>15</v>
      </c>
    </row>
    <row r="853" spans="1:15" hidden="1" x14ac:dyDescent="0.35">
      <c r="A853" t="s">
        <v>1519</v>
      </c>
      <c r="B853" t="s">
        <v>1520</v>
      </c>
      <c r="C853">
        <v>36</v>
      </c>
      <c r="D853" s="8" t="str" cm="1">
        <f t="array" ref="D853">_xlfn.IFS(C853&lt;=2, "Infant", C853&lt;=11, "Child", C853&lt;=17, "Adolescent", C853&lt;=44, "Young Adult", C853&lt;=64, "Middle Aged", C853&lt;=84,"Young Old", C853&gt;=85,"Oldest Old")</f>
        <v>Young Adult</v>
      </c>
      <c r="E853" t="s">
        <v>12</v>
      </c>
      <c r="F853" s="4">
        <v>45549</v>
      </c>
      <c r="G853" s="4">
        <v>45555</v>
      </c>
      <c r="H853" s="7">
        <f t="shared" si="39"/>
        <v>6</v>
      </c>
      <c r="I853" t="s">
        <v>60</v>
      </c>
      <c r="J853" t="s">
        <v>61</v>
      </c>
      <c r="K853" s="2">
        <v>9721.9</v>
      </c>
      <c r="L853" s="9">
        <v>0</v>
      </c>
      <c r="M853" s="15">
        <f t="shared" si="40"/>
        <v>0</v>
      </c>
      <c r="N853" s="15">
        <f t="shared" si="41"/>
        <v>9721.9</v>
      </c>
      <c r="O853" t="s">
        <v>20</v>
      </c>
    </row>
    <row r="854" spans="1:15" x14ac:dyDescent="0.35">
      <c r="A854" t="s">
        <v>1521</v>
      </c>
      <c r="B854" t="s">
        <v>1522</v>
      </c>
      <c r="C854">
        <v>45</v>
      </c>
      <c r="D854" s="8" t="str" cm="1">
        <f t="array" ref="D854">_xlfn.IFS(C854&lt;=2, "Infant", C854&lt;=11, "Child", C854&lt;=17, "Adolescent", C854&lt;=44, "Young Adult", C854&lt;=64, "Middle Aged", C854&lt;=84,"Young Old", C854&gt;=85,"Oldest Old")</f>
        <v>Middle Aged</v>
      </c>
      <c r="E854" t="s">
        <v>12</v>
      </c>
      <c r="F854" s="4">
        <v>45772</v>
      </c>
      <c r="G854" s="4">
        <v>45779</v>
      </c>
      <c r="H854" s="7">
        <f t="shared" si="39"/>
        <v>7</v>
      </c>
      <c r="I854" t="s">
        <v>31</v>
      </c>
      <c r="J854" t="s">
        <v>32</v>
      </c>
      <c r="K854" s="2">
        <v>8925.93</v>
      </c>
      <c r="L854" s="9">
        <v>0.7</v>
      </c>
      <c r="M854" s="15">
        <f t="shared" si="40"/>
        <v>6248.1509999999998</v>
      </c>
      <c r="N854" s="15">
        <f t="shared" si="41"/>
        <v>2677.7790000000005</v>
      </c>
      <c r="O854" t="s">
        <v>25</v>
      </c>
    </row>
    <row r="855" spans="1:15" hidden="1" x14ac:dyDescent="0.35">
      <c r="A855" t="s">
        <v>1523</v>
      </c>
      <c r="B855" t="s">
        <v>1083</v>
      </c>
      <c r="C855">
        <v>31</v>
      </c>
      <c r="D855" s="8" t="str" cm="1">
        <f t="array" ref="D855">_xlfn.IFS(C855&lt;=2, "Infant", C855&lt;=11, "Child", C855&lt;=17, "Adolescent", C855&lt;=44, "Young Adult", C855&lt;=64, "Middle Aged", C855&lt;=84,"Young Old", C855&gt;=85,"Oldest Old")</f>
        <v>Young Adult</v>
      </c>
      <c r="E855" t="s">
        <v>12</v>
      </c>
      <c r="F855" s="4">
        <v>45407</v>
      </c>
      <c r="G855" s="4">
        <v>45410</v>
      </c>
      <c r="H855" s="7">
        <f t="shared" si="39"/>
        <v>3</v>
      </c>
      <c r="I855" t="s">
        <v>31</v>
      </c>
      <c r="J855" t="s">
        <v>53</v>
      </c>
      <c r="K855" s="2">
        <v>2423.96</v>
      </c>
      <c r="L855" s="9">
        <v>0.9</v>
      </c>
      <c r="M855" s="15">
        <f t="shared" si="40"/>
        <v>2181.5640000000003</v>
      </c>
      <c r="N855" s="15">
        <f t="shared" si="41"/>
        <v>242.39599999999973</v>
      </c>
      <c r="O855" t="s">
        <v>15</v>
      </c>
    </row>
    <row r="856" spans="1:15" hidden="1" x14ac:dyDescent="0.35">
      <c r="A856" t="s">
        <v>1524</v>
      </c>
      <c r="B856" t="s">
        <v>1525</v>
      </c>
      <c r="C856">
        <v>77</v>
      </c>
      <c r="D856" s="8" t="str" cm="1">
        <f t="array" ref="D856">_xlfn.IFS(C856&lt;=2, "Infant", C856&lt;=11, "Child", C856&lt;=17, "Adolescent", C856&lt;=44, "Young Adult", C856&lt;=64, "Middle Aged", C856&lt;=84,"Young Old", C856&gt;=85,"Oldest Old")</f>
        <v>Young Old</v>
      </c>
      <c r="E856" t="s">
        <v>18</v>
      </c>
      <c r="F856" s="4">
        <v>45612</v>
      </c>
      <c r="G856" s="4">
        <v>45618</v>
      </c>
      <c r="H856" s="7">
        <f t="shared" si="39"/>
        <v>6</v>
      </c>
      <c r="I856" t="s">
        <v>31</v>
      </c>
      <c r="J856" t="s">
        <v>35</v>
      </c>
      <c r="K856" s="2">
        <v>4453.26</v>
      </c>
      <c r="L856" s="9">
        <v>0.6</v>
      </c>
      <c r="M856" s="15">
        <f t="shared" si="40"/>
        <v>2671.9560000000001</v>
      </c>
      <c r="N856" s="15">
        <f t="shared" si="41"/>
        <v>1781.3040000000001</v>
      </c>
      <c r="O856" t="s">
        <v>20</v>
      </c>
    </row>
    <row r="857" spans="1:15" hidden="1" x14ac:dyDescent="0.35">
      <c r="A857" t="s">
        <v>1526</v>
      </c>
      <c r="B857" t="s">
        <v>290</v>
      </c>
      <c r="C857">
        <v>78</v>
      </c>
      <c r="D857" s="8" t="str" cm="1">
        <f t="array" ref="D857">_xlfn.IFS(C857&lt;=2, "Infant", C857&lt;=11, "Child", C857&lt;=17, "Adolescent", C857&lt;=44, "Young Adult", C857&lt;=64, "Middle Aged", C857&lt;=84,"Young Old", C857&gt;=85,"Oldest Old")</f>
        <v>Young Old</v>
      </c>
      <c r="E857" t="s">
        <v>12</v>
      </c>
      <c r="F857" s="4">
        <v>45547</v>
      </c>
      <c r="G857" s="4">
        <v>45550</v>
      </c>
      <c r="H857" s="7">
        <f t="shared" si="39"/>
        <v>3</v>
      </c>
      <c r="I857" t="s">
        <v>70</v>
      </c>
      <c r="J857" t="s">
        <v>157</v>
      </c>
      <c r="K857" s="2">
        <v>4774.57</v>
      </c>
      <c r="L857" s="9">
        <v>0.9</v>
      </c>
      <c r="M857" s="15">
        <f t="shared" si="40"/>
        <v>4297.1130000000003</v>
      </c>
      <c r="N857" s="15">
        <f t="shared" si="41"/>
        <v>477.45699999999943</v>
      </c>
      <c r="O857" t="s">
        <v>15</v>
      </c>
    </row>
    <row r="858" spans="1:15" hidden="1" x14ac:dyDescent="0.35">
      <c r="A858" t="s">
        <v>1527</v>
      </c>
      <c r="B858" t="s">
        <v>1089</v>
      </c>
      <c r="C858">
        <v>31</v>
      </c>
      <c r="D858" s="8" t="str" cm="1">
        <f t="array" ref="D858">_xlfn.IFS(C858&lt;=2, "Infant", C858&lt;=11, "Child", C858&lt;=17, "Adolescent", C858&lt;=44, "Young Adult", C858&lt;=64, "Middle Aged", C858&lt;=84,"Young Old", C858&gt;=85,"Oldest Old")</f>
        <v>Young Adult</v>
      </c>
      <c r="E858" t="s">
        <v>18</v>
      </c>
      <c r="F858" s="4">
        <v>45382</v>
      </c>
      <c r="G858" s="4">
        <v>45385</v>
      </c>
      <c r="H858" s="7">
        <f t="shared" si="39"/>
        <v>3</v>
      </c>
      <c r="I858" t="s">
        <v>23</v>
      </c>
      <c r="J858" t="s">
        <v>41</v>
      </c>
      <c r="K858" s="2">
        <v>3412</v>
      </c>
      <c r="L858" s="9">
        <v>1</v>
      </c>
      <c r="M858" s="15">
        <f t="shared" si="40"/>
        <v>3412</v>
      </c>
      <c r="N858" s="15">
        <f t="shared" si="41"/>
        <v>0</v>
      </c>
      <c r="O858" t="s">
        <v>15</v>
      </c>
    </row>
    <row r="859" spans="1:15" hidden="1" x14ac:dyDescent="0.35">
      <c r="A859" t="s">
        <v>1528</v>
      </c>
      <c r="B859" t="s">
        <v>670</v>
      </c>
      <c r="C859">
        <v>51</v>
      </c>
      <c r="D859" s="8" t="str" cm="1">
        <f t="array" ref="D859">_xlfn.IFS(C859&lt;=2, "Infant", C859&lt;=11, "Child", C859&lt;=17, "Adolescent", C859&lt;=44, "Young Adult", C859&lt;=64, "Middle Aged", C859&lt;=84,"Young Old", C859&gt;=85,"Oldest Old")</f>
        <v>Middle Aged</v>
      </c>
      <c r="E859" t="s">
        <v>18</v>
      </c>
      <c r="F859" s="4">
        <v>45576</v>
      </c>
      <c r="G859" s="4">
        <v>45577</v>
      </c>
      <c r="H859" s="7">
        <f t="shared" si="39"/>
        <v>1</v>
      </c>
      <c r="I859" t="s">
        <v>31</v>
      </c>
      <c r="J859" t="s">
        <v>53</v>
      </c>
      <c r="K859" s="2">
        <v>1093.33</v>
      </c>
      <c r="L859" s="9">
        <v>0.8</v>
      </c>
      <c r="M859" s="15">
        <f t="shared" si="40"/>
        <v>874.66399999999999</v>
      </c>
      <c r="N859" s="15">
        <f t="shared" si="41"/>
        <v>218.66599999999994</v>
      </c>
      <c r="O859" t="s">
        <v>15</v>
      </c>
    </row>
    <row r="860" spans="1:15" hidden="1" x14ac:dyDescent="0.35">
      <c r="A860" t="s">
        <v>1529</v>
      </c>
      <c r="B860" t="s">
        <v>1530</v>
      </c>
      <c r="C860">
        <v>3</v>
      </c>
      <c r="D860" s="8" t="str" cm="1">
        <f t="array" ref="D860">_xlfn.IFS(C860&lt;=2, "Infant", C860&lt;=11, "Child", C860&lt;=17, "Adolescent", C860&lt;=44, "Young Adult", C860&lt;=64, "Middle Aged", C860&lt;=84,"Young Old", C860&gt;=85,"Oldest Old")</f>
        <v>Child</v>
      </c>
      <c r="E860" t="s">
        <v>18</v>
      </c>
      <c r="F860" s="4">
        <v>45964</v>
      </c>
      <c r="G860" s="4">
        <v>45968</v>
      </c>
      <c r="H860" s="7">
        <f t="shared" si="39"/>
        <v>4</v>
      </c>
      <c r="I860" t="s">
        <v>49</v>
      </c>
      <c r="J860" t="s">
        <v>50</v>
      </c>
      <c r="K860" s="2">
        <v>5111.21</v>
      </c>
      <c r="L860" s="9">
        <v>1</v>
      </c>
      <c r="M860" s="15">
        <f t="shared" si="40"/>
        <v>5111.21</v>
      </c>
      <c r="N860" s="15">
        <f t="shared" si="41"/>
        <v>0</v>
      </c>
      <c r="O860" t="s">
        <v>15</v>
      </c>
    </row>
    <row r="861" spans="1:15" hidden="1" x14ac:dyDescent="0.35">
      <c r="A861" t="s">
        <v>1531</v>
      </c>
      <c r="B861" t="s">
        <v>1532</v>
      </c>
      <c r="C861">
        <v>75</v>
      </c>
      <c r="D861" s="8" t="str" cm="1">
        <f t="array" ref="D861">_xlfn.IFS(C861&lt;=2, "Infant", C861&lt;=11, "Child", C861&lt;=17, "Adolescent", C861&lt;=44, "Young Adult", C861&lt;=64, "Middle Aged", C861&lt;=84,"Young Old", C861&gt;=85,"Oldest Old")</f>
        <v>Young Old</v>
      </c>
      <c r="E861" t="s">
        <v>12</v>
      </c>
      <c r="F861" s="4">
        <v>45717</v>
      </c>
      <c r="G861" s="4">
        <v>45723</v>
      </c>
      <c r="H861" s="7">
        <f t="shared" si="39"/>
        <v>6</v>
      </c>
      <c r="I861" t="s">
        <v>31</v>
      </c>
      <c r="J861" t="s">
        <v>44</v>
      </c>
      <c r="K861" s="2">
        <v>5375.85</v>
      </c>
      <c r="L861" s="9">
        <v>0.7</v>
      </c>
      <c r="M861" s="15">
        <f t="shared" si="40"/>
        <v>3763.0949999999998</v>
      </c>
      <c r="N861" s="15">
        <f t="shared" si="41"/>
        <v>1612.7550000000006</v>
      </c>
      <c r="O861" t="s">
        <v>15</v>
      </c>
    </row>
    <row r="862" spans="1:15" hidden="1" x14ac:dyDescent="0.35">
      <c r="A862" t="s">
        <v>1533</v>
      </c>
      <c r="B862" t="s">
        <v>1534</v>
      </c>
      <c r="C862">
        <v>55</v>
      </c>
      <c r="D862" s="8" t="str" cm="1">
        <f t="array" ref="D862">_xlfn.IFS(C862&lt;=2, "Infant", C862&lt;=11, "Child", C862&lt;=17, "Adolescent", C862&lt;=44, "Young Adult", C862&lt;=64, "Middle Aged", C862&lt;=84,"Young Old", C862&gt;=85,"Oldest Old")</f>
        <v>Middle Aged</v>
      </c>
      <c r="E862" t="s">
        <v>12</v>
      </c>
      <c r="F862" s="4">
        <v>45494</v>
      </c>
      <c r="G862" s="4">
        <v>45498</v>
      </c>
      <c r="H862" s="7">
        <f t="shared" si="39"/>
        <v>4</v>
      </c>
      <c r="I862" t="s">
        <v>60</v>
      </c>
      <c r="J862" t="s">
        <v>61</v>
      </c>
      <c r="K862" s="2">
        <v>9604.6200000000008</v>
      </c>
      <c r="L862" s="9">
        <v>1</v>
      </c>
      <c r="M862" s="15">
        <f t="shared" si="40"/>
        <v>9604.6200000000008</v>
      </c>
      <c r="N862" s="15">
        <f t="shared" si="41"/>
        <v>0</v>
      </c>
      <c r="O862" t="s">
        <v>20</v>
      </c>
    </row>
    <row r="863" spans="1:15" hidden="1" x14ac:dyDescent="0.35">
      <c r="A863" t="s">
        <v>1535</v>
      </c>
      <c r="B863" t="s">
        <v>1536</v>
      </c>
      <c r="C863">
        <v>51</v>
      </c>
      <c r="D863" s="8" t="str" cm="1">
        <f t="array" ref="D863">_xlfn.IFS(C863&lt;=2, "Infant", C863&lt;=11, "Child", C863&lt;=17, "Adolescent", C863&lt;=44, "Young Adult", C863&lt;=64, "Middle Aged", C863&lt;=84,"Young Old", C863&gt;=85,"Oldest Old")</f>
        <v>Middle Aged</v>
      </c>
      <c r="E863" t="s">
        <v>18</v>
      </c>
      <c r="F863" s="4">
        <v>45633</v>
      </c>
      <c r="G863" s="4">
        <v>45640</v>
      </c>
      <c r="H863" s="7">
        <f t="shared" si="39"/>
        <v>7</v>
      </c>
      <c r="I863" t="s">
        <v>31</v>
      </c>
      <c r="J863" t="s">
        <v>234</v>
      </c>
      <c r="K863" s="2">
        <v>8806.14</v>
      </c>
      <c r="L863" s="9">
        <v>0.7</v>
      </c>
      <c r="M863" s="15">
        <f t="shared" si="40"/>
        <v>6164.2979999999989</v>
      </c>
      <c r="N863" s="15">
        <f t="shared" si="41"/>
        <v>2641.8420000000006</v>
      </c>
      <c r="O863" t="s">
        <v>15</v>
      </c>
    </row>
    <row r="864" spans="1:15" hidden="1" x14ac:dyDescent="0.35">
      <c r="A864" t="s">
        <v>1537</v>
      </c>
      <c r="B864" t="s">
        <v>1538</v>
      </c>
      <c r="C864">
        <v>20</v>
      </c>
      <c r="D864" s="8" t="str" cm="1">
        <f t="array" ref="D864">_xlfn.IFS(C864&lt;=2, "Infant", C864&lt;=11, "Child", C864&lt;=17, "Adolescent", C864&lt;=44, "Young Adult", C864&lt;=64, "Middle Aged", C864&lt;=84,"Young Old", C864&gt;=85,"Oldest Old")</f>
        <v>Young Adult</v>
      </c>
      <c r="E864" t="s">
        <v>18</v>
      </c>
      <c r="F864" s="4">
        <v>45686</v>
      </c>
      <c r="G864" s="4">
        <v>45688</v>
      </c>
      <c r="H864" s="7">
        <f t="shared" si="39"/>
        <v>2</v>
      </c>
      <c r="I864" t="s">
        <v>23</v>
      </c>
      <c r="J864" t="s">
        <v>221</v>
      </c>
      <c r="K864" s="2">
        <v>3945.82</v>
      </c>
      <c r="L864" s="9">
        <v>0.8</v>
      </c>
      <c r="M864" s="15">
        <f t="shared" si="40"/>
        <v>3156.6560000000004</v>
      </c>
      <c r="N864" s="15">
        <f t="shared" si="41"/>
        <v>789.16399999999976</v>
      </c>
      <c r="O864" t="s">
        <v>15</v>
      </c>
    </row>
    <row r="865" spans="1:15" hidden="1" x14ac:dyDescent="0.35">
      <c r="A865" t="s">
        <v>1539</v>
      </c>
      <c r="B865" t="s">
        <v>1540</v>
      </c>
      <c r="C865">
        <v>33</v>
      </c>
      <c r="D865" s="8" t="str" cm="1">
        <f t="array" ref="D865">_xlfn.IFS(C865&lt;=2, "Infant", C865&lt;=11, "Child", C865&lt;=17, "Adolescent", C865&lt;=44, "Young Adult", C865&lt;=64, "Middle Aged", C865&lt;=84,"Young Old", C865&gt;=85,"Oldest Old")</f>
        <v>Young Adult</v>
      </c>
      <c r="E865" t="s">
        <v>18</v>
      </c>
      <c r="F865" s="4">
        <v>45884</v>
      </c>
      <c r="G865" s="4">
        <v>45885</v>
      </c>
      <c r="H865" s="7">
        <f t="shared" si="39"/>
        <v>1</v>
      </c>
      <c r="I865" t="s">
        <v>23</v>
      </c>
      <c r="J865" t="s">
        <v>204</v>
      </c>
      <c r="K865" s="2">
        <v>2303.3000000000002</v>
      </c>
      <c r="L865" s="9">
        <v>0.8</v>
      </c>
      <c r="M865" s="15">
        <f t="shared" si="40"/>
        <v>1842.6400000000003</v>
      </c>
      <c r="N865" s="15">
        <f t="shared" si="41"/>
        <v>460.65999999999985</v>
      </c>
      <c r="O865" t="s">
        <v>15</v>
      </c>
    </row>
    <row r="866" spans="1:15" hidden="1" x14ac:dyDescent="0.35">
      <c r="A866" t="s">
        <v>1541</v>
      </c>
      <c r="B866" t="s">
        <v>48</v>
      </c>
      <c r="C866">
        <v>9</v>
      </c>
      <c r="D866" s="8" t="str" cm="1">
        <f t="array" ref="D866">_xlfn.IFS(C866&lt;=2, "Infant", C866&lt;=11, "Child", C866&lt;=17, "Adolescent", C866&lt;=44, "Young Adult", C866&lt;=64, "Middle Aged", C866&lt;=84,"Young Old", C866&gt;=85,"Oldest Old")</f>
        <v>Child</v>
      </c>
      <c r="E866" t="s">
        <v>12</v>
      </c>
      <c r="F866" s="4">
        <v>45814</v>
      </c>
      <c r="G866" s="4">
        <v>45815</v>
      </c>
      <c r="H866" s="7">
        <f t="shared" si="39"/>
        <v>1</v>
      </c>
      <c r="I866" t="s">
        <v>49</v>
      </c>
      <c r="J866" t="s">
        <v>120</v>
      </c>
      <c r="K866" s="2">
        <v>1534.49</v>
      </c>
      <c r="L866" s="9">
        <v>0.8</v>
      </c>
      <c r="M866" s="15">
        <f t="shared" si="40"/>
        <v>1227.5920000000001</v>
      </c>
      <c r="N866" s="15">
        <f t="shared" si="41"/>
        <v>306.89799999999991</v>
      </c>
      <c r="O866" t="s">
        <v>15</v>
      </c>
    </row>
    <row r="867" spans="1:15" hidden="1" x14ac:dyDescent="0.35">
      <c r="A867" t="s">
        <v>1542</v>
      </c>
      <c r="B867" t="s">
        <v>1543</v>
      </c>
      <c r="C867">
        <v>27</v>
      </c>
      <c r="D867" s="8" t="str" cm="1">
        <f t="array" ref="D867">_xlfn.IFS(C867&lt;=2, "Infant", C867&lt;=11, "Child", C867&lt;=17, "Adolescent", C867&lt;=44, "Young Adult", C867&lt;=64, "Middle Aged", C867&lt;=84,"Young Old", C867&gt;=85,"Oldest Old")</f>
        <v>Young Adult</v>
      </c>
      <c r="E867" t="s">
        <v>12</v>
      </c>
      <c r="F867" s="4">
        <v>45349</v>
      </c>
      <c r="G867" s="4">
        <v>45350</v>
      </c>
      <c r="H867" s="7">
        <f t="shared" si="39"/>
        <v>1</v>
      </c>
      <c r="I867" t="s">
        <v>31</v>
      </c>
      <c r="J867" t="s">
        <v>87</v>
      </c>
      <c r="K867" s="2">
        <v>1353.93</v>
      </c>
      <c r="L867" s="9">
        <v>0.8</v>
      </c>
      <c r="M867" s="15">
        <f t="shared" si="40"/>
        <v>1083.144</v>
      </c>
      <c r="N867" s="15">
        <f t="shared" si="41"/>
        <v>270.78600000000006</v>
      </c>
      <c r="O867" t="s">
        <v>15</v>
      </c>
    </row>
    <row r="868" spans="1:15" hidden="1" x14ac:dyDescent="0.35">
      <c r="A868" t="s">
        <v>1544</v>
      </c>
      <c r="B868" t="s">
        <v>1545</v>
      </c>
      <c r="C868">
        <v>70</v>
      </c>
      <c r="D868" s="8" t="str" cm="1">
        <f t="array" ref="D868">_xlfn.IFS(C868&lt;=2, "Infant", C868&lt;=11, "Child", C868&lt;=17, "Adolescent", C868&lt;=44, "Young Adult", C868&lt;=64, "Middle Aged", C868&lt;=84,"Young Old", C868&gt;=85,"Oldest Old")</f>
        <v>Young Old</v>
      </c>
      <c r="E868" t="s">
        <v>18</v>
      </c>
      <c r="F868" s="4">
        <v>45422</v>
      </c>
      <c r="G868" s="4">
        <v>45428</v>
      </c>
      <c r="H868" s="7">
        <f t="shared" si="39"/>
        <v>6</v>
      </c>
      <c r="I868" t="s">
        <v>13</v>
      </c>
      <c r="J868" t="s">
        <v>165</v>
      </c>
      <c r="K868" s="2">
        <v>12898.02</v>
      </c>
      <c r="L868" s="9">
        <v>0.5</v>
      </c>
      <c r="M868" s="15">
        <f t="shared" si="40"/>
        <v>6449.01</v>
      </c>
      <c r="N868" s="15">
        <f t="shared" si="41"/>
        <v>6449.01</v>
      </c>
      <c r="O868" t="s">
        <v>20</v>
      </c>
    </row>
    <row r="869" spans="1:15" hidden="1" x14ac:dyDescent="0.35">
      <c r="A869" t="s">
        <v>1546</v>
      </c>
      <c r="B869" t="s">
        <v>1547</v>
      </c>
      <c r="C869">
        <v>62</v>
      </c>
      <c r="D869" s="8" t="str" cm="1">
        <f t="array" ref="D869">_xlfn.IFS(C869&lt;=2, "Infant", C869&lt;=11, "Child", C869&lt;=17, "Adolescent", C869&lt;=44, "Young Adult", C869&lt;=64, "Middle Aged", C869&lt;=84,"Young Old", C869&gt;=85,"Oldest Old")</f>
        <v>Middle Aged</v>
      </c>
      <c r="E869" t="s">
        <v>18</v>
      </c>
      <c r="F869" s="4">
        <v>45420</v>
      </c>
      <c r="G869" s="4">
        <v>45424</v>
      </c>
      <c r="H869" s="7">
        <f t="shared" si="39"/>
        <v>4</v>
      </c>
      <c r="I869" t="s">
        <v>31</v>
      </c>
      <c r="J869" t="s">
        <v>53</v>
      </c>
      <c r="K869" s="2">
        <v>4833.0200000000004</v>
      </c>
      <c r="L869" s="9">
        <v>0.7</v>
      </c>
      <c r="M869" s="15">
        <f t="shared" si="40"/>
        <v>3383.114</v>
      </c>
      <c r="N869" s="15">
        <f t="shared" si="41"/>
        <v>1449.9060000000004</v>
      </c>
      <c r="O869" t="s">
        <v>25</v>
      </c>
    </row>
    <row r="870" spans="1:15" hidden="1" x14ac:dyDescent="0.35">
      <c r="A870" t="s">
        <v>1548</v>
      </c>
      <c r="B870" t="s">
        <v>573</v>
      </c>
      <c r="C870">
        <v>42</v>
      </c>
      <c r="D870" s="8" t="str" cm="1">
        <f t="array" ref="D870">_xlfn.IFS(C870&lt;=2, "Infant", C870&lt;=11, "Child", C870&lt;=17, "Adolescent", C870&lt;=44, "Young Adult", C870&lt;=64, "Middle Aged", C870&lt;=84,"Young Old", C870&gt;=85,"Oldest Old")</f>
        <v>Young Adult</v>
      </c>
      <c r="E870" t="s">
        <v>12</v>
      </c>
      <c r="F870" s="4">
        <v>45619</v>
      </c>
      <c r="G870" s="4">
        <v>45622</v>
      </c>
      <c r="H870" s="7">
        <f t="shared" si="39"/>
        <v>3</v>
      </c>
      <c r="I870" t="s">
        <v>60</v>
      </c>
      <c r="J870" t="s">
        <v>142</v>
      </c>
      <c r="K870" s="2">
        <v>3132.44</v>
      </c>
      <c r="L870" s="9">
        <v>0.8</v>
      </c>
      <c r="M870" s="15">
        <f t="shared" si="40"/>
        <v>2505.9520000000002</v>
      </c>
      <c r="N870" s="15">
        <f t="shared" si="41"/>
        <v>626.48799999999983</v>
      </c>
      <c r="O870" t="s">
        <v>15</v>
      </c>
    </row>
    <row r="871" spans="1:15" hidden="1" x14ac:dyDescent="0.35">
      <c r="A871" t="s">
        <v>1549</v>
      </c>
      <c r="B871" t="s">
        <v>1550</v>
      </c>
      <c r="C871">
        <v>60</v>
      </c>
      <c r="D871" s="8" t="str" cm="1">
        <f t="array" ref="D871">_xlfn.IFS(C871&lt;=2, "Infant", C871&lt;=11, "Child", C871&lt;=17, "Adolescent", C871&lt;=44, "Young Adult", C871&lt;=64, "Middle Aged", C871&lt;=84,"Young Old", C871&gt;=85,"Oldest Old")</f>
        <v>Middle Aged</v>
      </c>
      <c r="E871" t="s">
        <v>12</v>
      </c>
      <c r="F871" s="4">
        <v>45791</v>
      </c>
      <c r="G871" s="4">
        <v>45798</v>
      </c>
      <c r="H871" s="7">
        <f t="shared" si="39"/>
        <v>7</v>
      </c>
      <c r="I871" t="s">
        <v>70</v>
      </c>
      <c r="J871" t="s">
        <v>157</v>
      </c>
      <c r="K871" s="2">
        <v>9720.49</v>
      </c>
      <c r="L871" s="9">
        <v>0.9</v>
      </c>
      <c r="M871" s="15">
        <f t="shared" si="40"/>
        <v>8748.4410000000007</v>
      </c>
      <c r="N871" s="15">
        <f t="shared" si="41"/>
        <v>972.04899999999907</v>
      </c>
      <c r="O871" t="s">
        <v>20</v>
      </c>
    </row>
    <row r="872" spans="1:15" hidden="1" x14ac:dyDescent="0.35">
      <c r="A872" t="s">
        <v>1551</v>
      </c>
      <c r="B872" t="s">
        <v>848</v>
      </c>
      <c r="C872">
        <v>16</v>
      </c>
      <c r="D872" s="8" t="str" cm="1">
        <f t="array" ref="D872">_xlfn.IFS(C872&lt;=2, "Infant", C872&lt;=11, "Child", C872&lt;=17, "Adolescent", C872&lt;=44, "Young Adult", C872&lt;=64, "Middle Aged", C872&lt;=84,"Young Old", C872&gt;=85,"Oldest Old")</f>
        <v>Adolescent</v>
      </c>
      <c r="E872" t="s">
        <v>18</v>
      </c>
      <c r="F872" s="4">
        <v>45682</v>
      </c>
      <c r="G872" s="4">
        <v>45685</v>
      </c>
      <c r="H872" s="7">
        <f t="shared" si="39"/>
        <v>3</v>
      </c>
      <c r="I872" t="s">
        <v>49</v>
      </c>
      <c r="J872" t="s">
        <v>50</v>
      </c>
      <c r="K872" s="2">
        <v>3754.13</v>
      </c>
      <c r="L872" s="9">
        <v>0.8</v>
      </c>
      <c r="M872" s="15">
        <f t="shared" si="40"/>
        <v>3003.3040000000001</v>
      </c>
      <c r="N872" s="15">
        <f t="shared" si="41"/>
        <v>750.82600000000002</v>
      </c>
      <c r="O872" t="s">
        <v>15</v>
      </c>
    </row>
    <row r="873" spans="1:15" hidden="1" x14ac:dyDescent="0.35">
      <c r="A873" t="s">
        <v>1552</v>
      </c>
      <c r="B873" t="s">
        <v>1312</v>
      </c>
      <c r="C873">
        <v>34</v>
      </c>
      <c r="D873" s="8" t="str" cm="1">
        <f t="array" ref="D873">_xlfn.IFS(C873&lt;=2, "Infant", C873&lt;=11, "Child", C873&lt;=17, "Adolescent", C873&lt;=44, "Young Adult", C873&lt;=64, "Middle Aged", C873&lt;=84,"Young Old", C873&gt;=85,"Oldest Old")</f>
        <v>Young Adult</v>
      </c>
      <c r="E873" t="s">
        <v>12</v>
      </c>
      <c r="F873" s="4">
        <v>45569</v>
      </c>
      <c r="G873" s="4">
        <v>45573</v>
      </c>
      <c r="H873" s="7">
        <f t="shared" si="39"/>
        <v>4</v>
      </c>
      <c r="I873" t="s">
        <v>31</v>
      </c>
      <c r="J873" t="s">
        <v>44</v>
      </c>
      <c r="K873" s="2">
        <v>5762.53</v>
      </c>
      <c r="L873" s="9">
        <v>0.9</v>
      </c>
      <c r="M873" s="15">
        <f t="shared" si="40"/>
        <v>5186.277</v>
      </c>
      <c r="N873" s="15">
        <f t="shared" si="41"/>
        <v>576.2529999999997</v>
      </c>
      <c r="O873" t="s">
        <v>15</v>
      </c>
    </row>
    <row r="874" spans="1:15" hidden="1" x14ac:dyDescent="0.35">
      <c r="A874" t="s">
        <v>1553</v>
      </c>
      <c r="B874" t="s">
        <v>1554</v>
      </c>
      <c r="C874">
        <v>79</v>
      </c>
      <c r="D874" s="8" t="str" cm="1">
        <f t="array" ref="D874">_xlfn.IFS(C874&lt;=2, "Infant", C874&lt;=11, "Child", C874&lt;=17, "Adolescent", C874&lt;=44, "Young Adult", C874&lt;=64, "Middle Aged", C874&lt;=84,"Young Old", C874&gt;=85,"Oldest Old")</f>
        <v>Young Old</v>
      </c>
      <c r="E874" t="s">
        <v>12</v>
      </c>
      <c r="F874" s="4">
        <v>45968</v>
      </c>
      <c r="G874" s="4">
        <v>45969</v>
      </c>
      <c r="H874" s="7">
        <f t="shared" si="39"/>
        <v>1</v>
      </c>
      <c r="I874" t="s">
        <v>31</v>
      </c>
      <c r="J874" t="s">
        <v>114</v>
      </c>
      <c r="K874" s="2">
        <v>808.56</v>
      </c>
      <c r="L874" s="9">
        <v>0.7</v>
      </c>
      <c r="M874" s="15">
        <f t="shared" si="40"/>
        <v>565.99199999999996</v>
      </c>
      <c r="N874" s="15">
        <f t="shared" si="41"/>
        <v>242.56799999999998</v>
      </c>
      <c r="O874" t="s">
        <v>15</v>
      </c>
    </row>
    <row r="875" spans="1:15" hidden="1" x14ac:dyDescent="0.35">
      <c r="A875" t="s">
        <v>1555</v>
      </c>
      <c r="B875" t="s">
        <v>1556</v>
      </c>
      <c r="C875">
        <v>64</v>
      </c>
      <c r="D875" s="8" t="str" cm="1">
        <f t="array" ref="D875">_xlfn.IFS(C875&lt;=2, "Infant", C875&lt;=11, "Child", C875&lt;=17, "Adolescent", C875&lt;=44, "Young Adult", C875&lt;=64, "Middle Aged", C875&lt;=84,"Young Old", C875&gt;=85,"Oldest Old")</f>
        <v>Middle Aged</v>
      </c>
      <c r="E875" t="s">
        <v>18</v>
      </c>
      <c r="F875" s="4">
        <v>45973</v>
      </c>
      <c r="G875" s="4">
        <v>45981</v>
      </c>
      <c r="H875" s="7">
        <f t="shared" si="39"/>
        <v>8</v>
      </c>
      <c r="I875" t="s">
        <v>13</v>
      </c>
      <c r="J875" t="s">
        <v>38</v>
      </c>
      <c r="K875" s="2">
        <v>15637.55</v>
      </c>
      <c r="L875" s="9">
        <v>0.9</v>
      </c>
      <c r="M875" s="15">
        <f t="shared" si="40"/>
        <v>14073.795</v>
      </c>
      <c r="N875" s="15">
        <f t="shared" si="41"/>
        <v>1563.7549999999992</v>
      </c>
      <c r="O875" t="s">
        <v>15</v>
      </c>
    </row>
    <row r="876" spans="1:15" hidden="1" x14ac:dyDescent="0.35">
      <c r="A876" t="s">
        <v>1557</v>
      </c>
      <c r="B876" t="s">
        <v>1022</v>
      </c>
      <c r="C876">
        <v>58</v>
      </c>
      <c r="D876" s="8" t="str" cm="1">
        <f t="array" ref="D876">_xlfn.IFS(C876&lt;=2, "Infant", C876&lt;=11, "Child", C876&lt;=17, "Adolescent", C876&lt;=44, "Young Adult", C876&lt;=64, "Middle Aged", C876&lt;=84,"Young Old", C876&gt;=85,"Oldest Old")</f>
        <v>Middle Aged</v>
      </c>
      <c r="E876" t="s">
        <v>18</v>
      </c>
      <c r="F876" s="4">
        <v>45722</v>
      </c>
      <c r="G876" s="4">
        <v>45724</v>
      </c>
      <c r="H876" s="7">
        <f t="shared" si="39"/>
        <v>2</v>
      </c>
      <c r="I876" t="s">
        <v>23</v>
      </c>
      <c r="J876" t="s">
        <v>41</v>
      </c>
      <c r="K876" s="2">
        <v>4011.18</v>
      </c>
      <c r="L876" s="9">
        <v>0.9</v>
      </c>
      <c r="M876" s="15">
        <f t="shared" si="40"/>
        <v>3610.0619999999999</v>
      </c>
      <c r="N876" s="15">
        <f t="shared" si="41"/>
        <v>401.11799999999994</v>
      </c>
      <c r="O876" t="s">
        <v>15</v>
      </c>
    </row>
    <row r="877" spans="1:15" hidden="1" x14ac:dyDescent="0.35">
      <c r="A877" t="s">
        <v>1558</v>
      </c>
      <c r="B877" t="s">
        <v>902</v>
      </c>
      <c r="C877">
        <v>53</v>
      </c>
      <c r="D877" s="8" t="str" cm="1">
        <f t="array" ref="D877">_xlfn.IFS(C877&lt;=2, "Infant", C877&lt;=11, "Child", C877&lt;=17, "Adolescent", C877&lt;=44, "Young Adult", C877&lt;=64, "Middle Aged", C877&lt;=84,"Young Old", C877&gt;=85,"Oldest Old")</f>
        <v>Middle Aged</v>
      </c>
      <c r="E877" t="s">
        <v>12</v>
      </c>
      <c r="F877" s="4">
        <v>45412</v>
      </c>
      <c r="G877" s="4">
        <v>45417</v>
      </c>
      <c r="H877" s="7">
        <f t="shared" si="39"/>
        <v>5</v>
      </c>
      <c r="I877" t="s">
        <v>13</v>
      </c>
      <c r="J877" t="s">
        <v>111</v>
      </c>
      <c r="K877" s="2">
        <v>10693.69</v>
      </c>
      <c r="L877" s="9">
        <v>1</v>
      </c>
      <c r="M877" s="15">
        <f t="shared" si="40"/>
        <v>10693.69</v>
      </c>
      <c r="N877" s="15">
        <f t="shared" si="41"/>
        <v>0</v>
      </c>
      <c r="O877" t="s">
        <v>15</v>
      </c>
    </row>
    <row r="878" spans="1:15" hidden="1" x14ac:dyDescent="0.35">
      <c r="A878" t="s">
        <v>1559</v>
      </c>
      <c r="B878" t="s">
        <v>1560</v>
      </c>
      <c r="C878">
        <v>39</v>
      </c>
      <c r="D878" s="8" t="str" cm="1">
        <f t="array" ref="D878">_xlfn.IFS(C878&lt;=2, "Infant", C878&lt;=11, "Child", C878&lt;=17, "Adolescent", C878&lt;=44, "Young Adult", C878&lt;=64, "Middle Aged", C878&lt;=84,"Young Old", C878&gt;=85,"Oldest Old")</f>
        <v>Young Adult</v>
      </c>
      <c r="E878" t="s">
        <v>18</v>
      </c>
      <c r="F878" s="4">
        <v>45633</v>
      </c>
      <c r="G878" s="4">
        <v>45636</v>
      </c>
      <c r="H878" s="7">
        <f t="shared" si="39"/>
        <v>3</v>
      </c>
      <c r="I878" t="s">
        <v>60</v>
      </c>
      <c r="J878" t="s">
        <v>142</v>
      </c>
      <c r="K878" s="2">
        <v>3746.98</v>
      </c>
      <c r="L878" s="9">
        <v>0.8</v>
      </c>
      <c r="M878" s="15">
        <f t="shared" si="40"/>
        <v>2997.5840000000003</v>
      </c>
      <c r="N878" s="15">
        <f t="shared" si="41"/>
        <v>749.39599999999973</v>
      </c>
      <c r="O878" t="s">
        <v>15</v>
      </c>
    </row>
    <row r="879" spans="1:15" hidden="1" x14ac:dyDescent="0.35">
      <c r="A879" t="s">
        <v>1561</v>
      </c>
      <c r="B879" t="s">
        <v>1066</v>
      </c>
      <c r="C879">
        <v>31</v>
      </c>
      <c r="D879" s="8" t="str" cm="1">
        <f t="array" ref="D879">_xlfn.IFS(C879&lt;=2, "Infant", C879&lt;=11, "Child", C879&lt;=17, "Adolescent", C879&lt;=44, "Young Adult", C879&lt;=64, "Middle Aged", C879&lt;=84,"Young Old", C879&gt;=85,"Oldest Old")</f>
        <v>Young Adult</v>
      </c>
      <c r="E879" t="s">
        <v>12</v>
      </c>
      <c r="F879" s="4">
        <v>45515</v>
      </c>
      <c r="G879" s="4">
        <v>45525</v>
      </c>
      <c r="H879" s="7">
        <f t="shared" si="39"/>
        <v>10</v>
      </c>
      <c r="I879" t="s">
        <v>70</v>
      </c>
      <c r="J879" t="s">
        <v>237</v>
      </c>
      <c r="K879" s="2">
        <v>24544.65</v>
      </c>
      <c r="L879" s="9">
        <v>0.8</v>
      </c>
      <c r="M879" s="15">
        <f t="shared" si="40"/>
        <v>19635.72</v>
      </c>
      <c r="N879" s="15">
        <f t="shared" si="41"/>
        <v>4908.93</v>
      </c>
      <c r="O879" t="s">
        <v>15</v>
      </c>
    </row>
    <row r="880" spans="1:15" hidden="1" x14ac:dyDescent="0.35">
      <c r="A880" t="s">
        <v>1562</v>
      </c>
      <c r="B880" t="s">
        <v>1563</v>
      </c>
      <c r="C880">
        <v>35</v>
      </c>
      <c r="D880" s="8" t="str" cm="1">
        <f t="array" ref="D880">_xlfn.IFS(C880&lt;=2, "Infant", C880&lt;=11, "Child", C880&lt;=17, "Adolescent", C880&lt;=44, "Young Adult", C880&lt;=64, "Middle Aged", C880&lt;=84,"Young Old", C880&gt;=85,"Oldest Old")</f>
        <v>Young Adult</v>
      </c>
      <c r="E880" t="s">
        <v>12</v>
      </c>
      <c r="F880" s="4">
        <v>45604</v>
      </c>
      <c r="G880" s="4">
        <v>45605</v>
      </c>
      <c r="H880" s="7">
        <f t="shared" si="39"/>
        <v>1</v>
      </c>
      <c r="I880" t="s">
        <v>23</v>
      </c>
      <c r="J880" t="s">
        <v>204</v>
      </c>
      <c r="K880" s="2">
        <v>1355.19</v>
      </c>
      <c r="L880" s="9">
        <v>0.8</v>
      </c>
      <c r="M880" s="15">
        <f t="shared" si="40"/>
        <v>1084.152</v>
      </c>
      <c r="N880" s="15">
        <f t="shared" si="41"/>
        <v>271.03800000000001</v>
      </c>
      <c r="O880" t="s">
        <v>15</v>
      </c>
    </row>
    <row r="881" spans="1:15" hidden="1" x14ac:dyDescent="0.35">
      <c r="A881" t="s">
        <v>1564</v>
      </c>
      <c r="B881" t="s">
        <v>1565</v>
      </c>
      <c r="C881">
        <v>10</v>
      </c>
      <c r="D881" s="8" t="str" cm="1">
        <f t="array" ref="D881">_xlfn.IFS(C881&lt;=2, "Infant", C881&lt;=11, "Child", C881&lt;=17, "Adolescent", C881&lt;=44, "Young Adult", C881&lt;=64, "Middle Aged", C881&lt;=84,"Young Old", C881&gt;=85,"Oldest Old")</f>
        <v>Child</v>
      </c>
      <c r="E881" t="s">
        <v>18</v>
      </c>
      <c r="F881" s="4">
        <v>45498</v>
      </c>
      <c r="G881" s="4">
        <v>45499</v>
      </c>
      <c r="H881" s="7">
        <f t="shared" si="39"/>
        <v>1</v>
      </c>
      <c r="I881" t="s">
        <v>49</v>
      </c>
      <c r="J881" t="s">
        <v>123</v>
      </c>
      <c r="K881" s="2">
        <v>628.96</v>
      </c>
      <c r="L881" s="9">
        <v>0.7</v>
      </c>
      <c r="M881" s="15">
        <f t="shared" si="40"/>
        <v>440.27199999999999</v>
      </c>
      <c r="N881" s="15">
        <f t="shared" si="41"/>
        <v>188.68800000000005</v>
      </c>
      <c r="O881" t="s">
        <v>15</v>
      </c>
    </row>
    <row r="882" spans="1:15" hidden="1" x14ac:dyDescent="0.35">
      <c r="A882" t="s">
        <v>1566</v>
      </c>
      <c r="B882" t="s">
        <v>1567</v>
      </c>
      <c r="C882">
        <v>47</v>
      </c>
      <c r="D882" s="8" t="str" cm="1">
        <f t="array" ref="D882">_xlfn.IFS(C882&lt;=2, "Infant", C882&lt;=11, "Child", C882&lt;=17, "Adolescent", C882&lt;=44, "Young Adult", C882&lt;=64, "Middle Aged", C882&lt;=84,"Young Old", C882&gt;=85,"Oldest Old")</f>
        <v>Middle Aged</v>
      </c>
      <c r="E882" t="s">
        <v>18</v>
      </c>
      <c r="F882" s="4">
        <v>45684</v>
      </c>
      <c r="G882" s="4">
        <v>45686</v>
      </c>
      <c r="H882" s="7">
        <f t="shared" si="39"/>
        <v>2</v>
      </c>
      <c r="I882" t="s">
        <v>31</v>
      </c>
      <c r="J882" t="s">
        <v>87</v>
      </c>
      <c r="K882" s="2">
        <v>2366.37</v>
      </c>
      <c r="L882" s="9">
        <v>0.8</v>
      </c>
      <c r="M882" s="15">
        <f t="shared" si="40"/>
        <v>1893.096</v>
      </c>
      <c r="N882" s="15">
        <f t="shared" si="41"/>
        <v>473.27399999999989</v>
      </c>
      <c r="O882" t="s">
        <v>15</v>
      </c>
    </row>
    <row r="883" spans="1:15" hidden="1" x14ac:dyDescent="0.35">
      <c r="A883" t="s">
        <v>1568</v>
      </c>
      <c r="B883" t="s">
        <v>1569</v>
      </c>
      <c r="C883">
        <v>22</v>
      </c>
      <c r="D883" s="8" t="str" cm="1">
        <f t="array" ref="D883">_xlfn.IFS(C883&lt;=2, "Infant", C883&lt;=11, "Child", C883&lt;=17, "Adolescent", C883&lt;=44, "Young Adult", C883&lt;=64, "Middle Aged", C883&lt;=84,"Young Old", C883&gt;=85,"Oldest Old")</f>
        <v>Young Adult</v>
      </c>
      <c r="E883" t="s">
        <v>12</v>
      </c>
      <c r="F883" s="4">
        <v>45565</v>
      </c>
      <c r="G883" s="4">
        <v>45566</v>
      </c>
      <c r="H883" s="7">
        <f t="shared" si="39"/>
        <v>1</v>
      </c>
      <c r="I883" t="s">
        <v>23</v>
      </c>
      <c r="J883" t="s">
        <v>333</v>
      </c>
      <c r="K883" s="2">
        <v>2471.9699999999998</v>
      </c>
      <c r="L883" s="9">
        <v>0.5</v>
      </c>
      <c r="M883" s="15">
        <f t="shared" si="40"/>
        <v>1235.9849999999999</v>
      </c>
      <c r="N883" s="15">
        <f t="shared" si="41"/>
        <v>1235.9849999999999</v>
      </c>
      <c r="O883" t="s">
        <v>15</v>
      </c>
    </row>
    <row r="884" spans="1:15" hidden="1" x14ac:dyDescent="0.35">
      <c r="A884" t="s">
        <v>1570</v>
      </c>
      <c r="B884" t="s">
        <v>1571</v>
      </c>
      <c r="C884">
        <v>51</v>
      </c>
      <c r="D884" s="8" t="str" cm="1">
        <f t="array" ref="D884">_xlfn.IFS(C884&lt;=2, "Infant", C884&lt;=11, "Child", C884&lt;=17, "Adolescent", C884&lt;=44, "Young Adult", C884&lt;=64, "Middle Aged", C884&lt;=84,"Young Old", C884&gt;=85,"Oldest Old")</f>
        <v>Middle Aged</v>
      </c>
      <c r="E884" t="s">
        <v>18</v>
      </c>
      <c r="F884" s="4">
        <v>45611</v>
      </c>
      <c r="G884" s="4">
        <v>45616</v>
      </c>
      <c r="H884" s="7">
        <f t="shared" si="39"/>
        <v>5</v>
      </c>
      <c r="I884" t="s">
        <v>13</v>
      </c>
      <c r="J884" t="s">
        <v>102</v>
      </c>
      <c r="K884" s="2">
        <v>12189.63</v>
      </c>
      <c r="L884" s="9">
        <v>0.9</v>
      </c>
      <c r="M884" s="15">
        <f t="shared" si="40"/>
        <v>10970.666999999999</v>
      </c>
      <c r="N884" s="15">
        <f t="shared" si="41"/>
        <v>1218.9629999999997</v>
      </c>
      <c r="O884" t="s">
        <v>15</v>
      </c>
    </row>
    <row r="885" spans="1:15" hidden="1" x14ac:dyDescent="0.35">
      <c r="A885" t="s">
        <v>1572</v>
      </c>
      <c r="B885" t="s">
        <v>1573</v>
      </c>
      <c r="C885">
        <v>7</v>
      </c>
      <c r="D885" s="8" t="str" cm="1">
        <f t="array" ref="D885">_xlfn.IFS(C885&lt;=2, "Infant", C885&lt;=11, "Child", C885&lt;=17, "Adolescent", C885&lt;=44, "Young Adult", C885&lt;=64, "Middle Aged", C885&lt;=84,"Young Old", C885&gt;=85,"Oldest Old")</f>
        <v>Child</v>
      </c>
      <c r="E885" t="s">
        <v>12</v>
      </c>
      <c r="F885" s="4">
        <v>45660</v>
      </c>
      <c r="G885" s="4">
        <v>45663</v>
      </c>
      <c r="H885" s="7">
        <f t="shared" si="39"/>
        <v>3</v>
      </c>
      <c r="I885" t="s">
        <v>49</v>
      </c>
      <c r="J885" t="s">
        <v>120</v>
      </c>
      <c r="K885" s="2">
        <v>4133.3599999999997</v>
      </c>
      <c r="L885" s="9">
        <v>0.6</v>
      </c>
      <c r="M885" s="15">
        <f t="shared" si="40"/>
        <v>2480.0159999999996</v>
      </c>
      <c r="N885" s="15">
        <f t="shared" si="41"/>
        <v>1653.3440000000001</v>
      </c>
      <c r="O885" t="s">
        <v>20</v>
      </c>
    </row>
    <row r="886" spans="1:15" hidden="1" x14ac:dyDescent="0.35">
      <c r="A886" t="s">
        <v>1574</v>
      </c>
      <c r="B886" t="s">
        <v>1575</v>
      </c>
      <c r="C886">
        <v>29</v>
      </c>
      <c r="D886" s="8" t="str" cm="1">
        <f t="array" ref="D886">_xlfn.IFS(C886&lt;=2, "Infant", C886&lt;=11, "Child", C886&lt;=17, "Adolescent", C886&lt;=44, "Young Adult", C886&lt;=64, "Middle Aged", C886&lt;=84,"Young Old", C886&gt;=85,"Oldest Old")</f>
        <v>Young Adult</v>
      </c>
      <c r="E886" t="s">
        <v>18</v>
      </c>
      <c r="F886" s="4">
        <v>45672</v>
      </c>
      <c r="G886" s="4">
        <v>45682</v>
      </c>
      <c r="H886" s="7">
        <f t="shared" si="39"/>
        <v>10</v>
      </c>
      <c r="I886" t="s">
        <v>60</v>
      </c>
      <c r="J886" t="s">
        <v>74</v>
      </c>
      <c r="K886" s="2">
        <v>10560.57</v>
      </c>
      <c r="L886" s="9">
        <v>0.7</v>
      </c>
      <c r="M886" s="15">
        <f t="shared" si="40"/>
        <v>7392.3989999999994</v>
      </c>
      <c r="N886" s="15">
        <f t="shared" si="41"/>
        <v>3168.1710000000003</v>
      </c>
      <c r="O886" t="s">
        <v>15</v>
      </c>
    </row>
    <row r="887" spans="1:15" hidden="1" x14ac:dyDescent="0.35">
      <c r="A887" t="s">
        <v>1576</v>
      </c>
      <c r="B887" t="s">
        <v>1577</v>
      </c>
      <c r="C887">
        <v>55</v>
      </c>
      <c r="D887" s="8" t="str" cm="1">
        <f t="array" ref="D887">_xlfn.IFS(C887&lt;=2, "Infant", C887&lt;=11, "Child", C887&lt;=17, "Adolescent", C887&lt;=44, "Young Adult", C887&lt;=64, "Middle Aged", C887&lt;=84,"Young Old", C887&gt;=85,"Oldest Old")</f>
        <v>Middle Aged</v>
      </c>
      <c r="E887" t="s">
        <v>18</v>
      </c>
      <c r="F887" s="4">
        <v>45494</v>
      </c>
      <c r="G887" s="4">
        <v>45500</v>
      </c>
      <c r="H887" s="7">
        <f t="shared" si="39"/>
        <v>6</v>
      </c>
      <c r="I887" t="s">
        <v>13</v>
      </c>
      <c r="J887" t="s">
        <v>111</v>
      </c>
      <c r="K887" s="2">
        <v>16685.38</v>
      </c>
      <c r="L887" s="9">
        <v>0.9</v>
      </c>
      <c r="M887" s="15">
        <f t="shared" si="40"/>
        <v>15016.842000000001</v>
      </c>
      <c r="N887" s="15">
        <f t="shared" si="41"/>
        <v>1668.5380000000005</v>
      </c>
      <c r="O887" t="s">
        <v>25</v>
      </c>
    </row>
    <row r="888" spans="1:15" hidden="1" x14ac:dyDescent="0.35">
      <c r="A888" t="s">
        <v>1578</v>
      </c>
      <c r="B888" t="s">
        <v>17</v>
      </c>
      <c r="C888">
        <v>43</v>
      </c>
      <c r="D888" s="8" t="str" cm="1">
        <f t="array" ref="D888">_xlfn.IFS(C888&lt;=2, "Infant", C888&lt;=11, "Child", C888&lt;=17, "Adolescent", C888&lt;=44, "Young Adult", C888&lt;=64, "Middle Aged", C888&lt;=84,"Young Old", C888&gt;=85,"Oldest Old")</f>
        <v>Young Adult</v>
      </c>
      <c r="E888" t="s">
        <v>18</v>
      </c>
      <c r="F888" s="4">
        <v>45450</v>
      </c>
      <c r="G888" s="4">
        <v>45455</v>
      </c>
      <c r="H888" s="7">
        <f t="shared" si="39"/>
        <v>5</v>
      </c>
      <c r="I888" t="s">
        <v>60</v>
      </c>
      <c r="J888" t="s">
        <v>97</v>
      </c>
      <c r="K888" s="2">
        <v>12448.18</v>
      </c>
      <c r="L888" s="9">
        <v>0.9</v>
      </c>
      <c r="M888" s="15">
        <f t="shared" si="40"/>
        <v>11203.362000000001</v>
      </c>
      <c r="N888" s="15">
        <f t="shared" si="41"/>
        <v>1244.8179999999993</v>
      </c>
      <c r="O888" t="s">
        <v>15</v>
      </c>
    </row>
    <row r="889" spans="1:15" hidden="1" x14ac:dyDescent="0.35">
      <c r="A889" t="s">
        <v>1579</v>
      </c>
      <c r="B889" t="s">
        <v>382</v>
      </c>
      <c r="C889">
        <v>58</v>
      </c>
      <c r="D889" s="8" t="str" cm="1">
        <f t="array" ref="D889">_xlfn.IFS(C889&lt;=2, "Infant", C889&lt;=11, "Child", C889&lt;=17, "Adolescent", C889&lt;=44, "Young Adult", C889&lt;=64, "Middle Aged", C889&lt;=84,"Young Old", C889&gt;=85,"Oldest Old")</f>
        <v>Middle Aged</v>
      </c>
      <c r="E889" t="s">
        <v>18</v>
      </c>
      <c r="F889" s="4">
        <v>45541</v>
      </c>
      <c r="G889" s="4">
        <v>45544</v>
      </c>
      <c r="H889" s="7">
        <f t="shared" si="39"/>
        <v>3</v>
      </c>
      <c r="I889" t="s">
        <v>70</v>
      </c>
      <c r="J889" t="s">
        <v>295</v>
      </c>
      <c r="K889" s="2">
        <v>7181.24</v>
      </c>
      <c r="L889" s="9">
        <v>0.8</v>
      </c>
      <c r="M889" s="15">
        <f t="shared" si="40"/>
        <v>5744.9920000000002</v>
      </c>
      <c r="N889" s="15">
        <f t="shared" si="41"/>
        <v>1436.2479999999996</v>
      </c>
      <c r="O889" t="s">
        <v>15</v>
      </c>
    </row>
    <row r="890" spans="1:15" hidden="1" x14ac:dyDescent="0.35">
      <c r="A890" t="s">
        <v>1580</v>
      </c>
      <c r="B890" t="s">
        <v>1525</v>
      </c>
      <c r="C890">
        <v>51</v>
      </c>
      <c r="D890" s="8" t="str" cm="1">
        <f t="array" ref="D890">_xlfn.IFS(C890&lt;=2, "Infant", C890&lt;=11, "Child", C890&lt;=17, "Adolescent", C890&lt;=44, "Young Adult", C890&lt;=64, "Middle Aged", C890&lt;=84,"Young Old", C890&gt;=85,"Oldest Old")</f>
        <v>Middle Aged</v>
      </c>
      <c r="E890" t="s">
        <v>18</v>
      </c>
      <c r="F890" s="4">
        <v>45977</v>
      </c>
      <c r="G890" s="4">
        <v>45987</v>
      </c>
      <c r="H890" s="7">
        <f t="shared" si="39"/>
        <v>10</v>
      </c>
      <c r="I890" t="s">
        <v>70</v>
      </c>
      <c r="J890" t="s">
        <v>71</v>
      </c>
      <c r="K890" s="2">
        <v>12719.1</v>
      </c>
      <c r="L890" s="9">
        <v>0.8</v>
      </c>
      <c r="M890" s="15">
        <f t="shared" si="40"/>
        <v>10175.280000000001</v>
      </c>
      <c r="N890" s="15">
        <f t="shared" si="41"/>
        <v>2543.8199999999997</v>
      </c>
      <c r="O890" t="s">
        <v>20</v>
      </c>
    </row>
    <row r="891" spans="1:15" hidden="1" x14ac:dyDescent="0.35">
      <c r="A891" t="s">
        <v>1581</v>
      </c>
      <c r="B891" t="s">
        <v>1582</v>
      </c>
      <c r="C891">
        <v>19</v>
      </c>
      <c r="D891" s="8" t="str" cm="1">
        <f t="array" ref="D891">_xlfn.IFS(C891&lt;=2, "Infant", C891&lt;=11, "Child", C891&lt;=17, "Adolescent", C891&lt;=44, "Young Adult", C891&lt;=64, "Middle Aged", C891&lt;=84,"Young Old", C891&gt;=85,"Oldest Old")</f>
        <v>Young Adult</v>
      </c>
      <c r="E891" t="s">
        <v>18</v>
      </c>
      <c r="F891" s="4">
        <v>45489</v>
      </c>
      <c r="G891" s="4">
        <v>45494</v>
      </c>
      <c r="H891" s="7">
        <f t="shared" si="39"/>
        <v>5</v>
      </c>
      <c r="I891" t="s">
        <v>31</v>
      </c>
      <c r="J891" t="s">
        <v>53</v>
      </c>
      <c r="K891" s="2">
        <v>3960.59</v>
      </c>
      <c r="L891" s="9">
        <v>0.7</v>
      </c>
      <c r="M891" s="15">
        <f t="shared" si="40"/>
        <v>2772.413</v>
      </c>
      <c r="N891" s="15">
        <f t="shared" si="41"/>
        <v>1188.1770000000001</v>
      </c>
      <c r="O891" t="s">
        <v>25</v>
      </c>
    </row>
    <row r="892" spans="1:15" hidden="1" x14ac:dyDescent="0.35">
      <c r="A892" t="s">
        <v>1583</v>
      </c>
      <c r="B892" t="s">
        <v>1584</v>
      </c>
      <c r="C892">
        <v>73</v>
      </c>
      <c r="D892" s="8" t="str" cm="1">
        <f t="array" ref="D892">_xlfn.IFS(C892&lt;=2, "Infant", C892&lt;=11, "Child", C892&lt;=17, "Adolescent", C892&lt;=44, "Young Adult", C892&lt;=64, "Middle Aged", C892&lt;=84,"Young Old", C892&gt;=85,"Oldest Old")</f>
        <v>Young Old</v>
      </c>
      <c r="E892" t="s">
        <v>12</v>
      </c>
      <c r="F892" s="4">
        <v>45801</v>
      </c>
      <c r="G892" s="4">
        <v>45814</v>
      </c>
      <c r="H892" s="7">
        <f t="shared" si="39"/>
        <v>13</v>
      </c>
      <c r="I892" t="s">
        <v>60</v>
      </c>
      <c r="J892" t="s">
        <v>133</v>
      </c>
      <c r="K892" s="2">
        <v>32658.41</v>
      </c>
      <c r="L892" s="9">
        <v>1</v>
      </c>
      <c r="M892" s="15">
        <f t="shared" si="40"/>
        <v>32658.41</v>
      </c>
      <c r="N892" s="15">
        <f t="shared" si="41"/>
        <v>0</v>
      </c>
      <c r="O892" t="s">
        <v>15</v>
      </c>
    </row>
    <row r="893" spans="1:15" hidden="1" x14ac:dyDescent="0.35">
      <c r="A893" t="s">
        <v>1585</v>
      </c>
      <c r="B893" t="s">
        <v>1586</v>
      </c>
      <c r="C893">
        <v>53</v>
      </c>
      <c r="D893" s="8" t="str" cm="1">
        <f t="array" ref="D893">_xlfn.IFS(C893&lt;=2, "Infant", C893&lt;=11, "Child", C893&lt;=17, "Adolescent", C893&lt;=44, "Young Adult", C893&lt;=64, "Middle Aged", C893&lt;=84,"Young Old", C893&gt;=85,"Oldest Old")</f>
        <v>Middle Aged</v>
      </c>
      <c r="E893" t="s">
        <v>12</v>
      </c>
      <c r="F893" s="4">
        <v>45661</v>
      </c>
      <c r="G893" s="4">
        <v>45664</v>
      </c>
      <c r="H893" s="7">
        <f t="shared" si="39"/>
        <v>3</v>
      </c>
      <c r="I893" t="s">
        <v>23</v>
      </c>
      <c r="J893" t="s">
        <v>204</v>
      </c>
      <c r="K893" s="2">
        <v>4283.7</v>
      </c>
      <c r="L893" s="9">
        <v>0.7</v>
      </c>
      <c r="M893" s="15">
        <f t="shared" si="40"/>
        <v>2998.5899999999997</v>
      </c>
      <c r="N893" s="15">
        <f t="shared" si="41"/>
        <v>1285.1100000000001</v>
      </c>
      <c r="O893" t="s">
        <v>25</v>
      </c>
    </row>
    <row r="894" spans="1:15" hidden="1" x14ac:dyDescent="0.35">
      <c r="A894" t="s">
        <v>1587</v>
      </c>
      <c r="B894" t="s">
        <v>684</v>
      </c>
      <c r="C894">
        <v>52</v>
      </c>
      <c r="D894" s="8" t="str" cm="1">
        <f t="array" ref="D894">_xlfn.IFS(C894&lt;=2, "Infant", C894&lt;=11, "Child", C894&lt;=17, "Adolescent", C894&lt;=44, "Young Adult", C894&lt;=64, "Middle Aged", C894&lt;=84,"Young Old", C894&gt;=85,"Oldest Old")</f>
        <v>Middle Aged</v>
      </c>
      <c r="E894" t="s">
        <v>12</v>
      </c>
      <c r="F894" s="4">
        <v>45481</v>
      </c>
      <c r="G894" s="4">
        <v>45483</v>
      </c>
      <c r="H894" s="7">
        <f t="shared" si="39"/>
        <v>2</v>
      </c>
      <c r="I894" t="s">
        <v>60</v>
      </c>
      <c r="J894" t="s">
        <v>77</v>
      </c>
      <c r="K894" s="2">
        <v>5291.81</v>
      </c>
      <c r="L894" s="9">
        <v>0.5</v>
      </c>
      <c r="M894" s="15">
        <f t="shared" si="40"/>
        <v>2645.9050000000002</v>
      </c>
      <c r="N894" s="15">
        <f t="shared" si="41"/>
        <v>2645.9050000000002</v>
      </c>
      <c r="O894" t="s">
        <v>15</v>
      </c>
    </row>
    <row r="895" spans="1:15" hidden="1" x14ac:dyDescent="0.35">
      <c r="A895" t="s">
        <v>1588</v>
      </c>
      <c r="B895" t="s">
        <v>1442</v>
      </c>
      <c r="C895">
        <v>80</v>
      </c>
      <c r="D895" s="8" t="str" cm="1">
        <f t="array" ref="D895">_xlfn.IFS(C895&lt;=2, "Infant", C895&lt;=11, "Child", C895&lt;=17, "Adolescent", C895&lt;=44, "Young Adult", C895&lt;=64, "Middle Aged", C895&lt;=84,"Young Old", C895&gt;=85,"Oldest Old")</f>
        <v>Young Old</v>
      </c>
      <c r="E895" t="s">
        <v>18</v>
      </c>
      <c r="F895" s="4">
        <v>45623</v>
      </c>
      <c r="G895" s="4">
        <v>45629</v>
      </c>
      <c r="H895" s="7">
        <f t="shared" si="39"/>
        <v>6</v>
      </c>
      <c r="I895" t="s">
        <v>31</v>
      </c>
      <c r="J895" t="s">
        <v>35</v>
      </c>
      <c r="K895" s="2">
        <v>3170.27</v>
      </c>
      <c r="L895" s="9">
        <v>0.9</v>
      </c>
      <c r="M895" s="15">
        <f t="shared" si="40"/>
        <v>2853.2429999999999</v>
      </c>
      <c r="N895" s="15">
        <f t="shared" si="41"/>
        <v>317.02700000000004</v>
      </c>
      <c r="O895" t="s">
        <v>15</v>
      </c>
    </row>
    <row r="896" spans="1:15" hidden="1" x14ac:dyDescent="0.35">
      <c r="A896" t="s">
        <v>1589</v>
      </c>
      <c r="B896" t="s">
        <v>1590</v>
      </c>
      <c r="C896">
        <v>32</v>
      </c>
      <c r="D896" s="8" t="str" cm="1">
        <f t="array" ref="D896">_xlfn.IFS(C896&lt;=2, "Infant", C896&lt;=11, "Child", C896&lt;=17, "Adolescent", C896&lt;=44, "Young Adult", C896&lt;=64, "Middle Aged", C896&lt;=84,"Young Old", C896&gt;=85,"Oldest Old")</f>
        <v>Young Adult</v>
      </c>
      <c r="E896" t="s">
        <v>12</v>
      </c>
      <c r="F896" s="4">
        <v>45518</v>
      </c>
      <c r="G896" s="4">
        <v>45525</v>
      </c>
      <c r="H896" s="7">
        <f t="shared" si="39"/>
        <v>7</v>
      </c>
      <c r="I896" t="s">
        <v>31</v>
      </c>
      <c r="J896" t="s">
        <v>114</v>
      </c>
      <c r="K896" s="2">
        <v>6978.9</v>
      </c>
      <c r="L896" s="9">
        <v>0.9</v>
      </c>
      <c r="M896" s="15">
        <f t="shared" si="40"/>
        <v>6281.01</v>
      </c>
      <c r="N896" s="15">
        <f t="shared" si="41"/>
        <v>697.88999999999942</v>
      </c>
      <c r="O896" t="s">
        <v>20</v>
      </c>
    </row>
    <row r="897" spans="1:15" hidden="1" x14ac:dyDescent="0.35">
      <c r="A897" t="s">
        <v>1591</v>
      </c>
      <c r="B897" t="s">
        <v>1163</v>
      </c>
      <c r="C897">
        <v>63</v>
      </c>
      <c r="D897" s="8" t="str" cm="1">
        <f t="array" ref="D897">_xlfn.IFS(C897&lt;=2, "Infant", C897&lt;=11, "Child", C897&lt;=17, "Adolescent", C897&lt;=44, "Young Adult", C897&lt;=64, "Middle Aged", C897&lt;=84,"Young Old", C897&gt;=85,"Oldest Old")</f>
        <v>Middle Aged</v>
      </c>
      <c r="E897" t="s">
        <v>18</v>
      </c>
      <c r="F897" s="4">
        <v>45527</v>
      </c>
      <c r="G897" s="4">
        <v>45533</v>
      </c>
      <c r="H897" s="7">
        <f t="shared" si="39"/>
        <v>6</v>
      </c>
      <c r="I897" t="s">
        <v>31</v>
      </c>
      <c r="J897" t="s">
        <v>87</v>
      </c>
      <c r="K897" s="2">
        <v>4868.46</v>
      </c>
      <c r="L897" s="9">
        <v>0.8</v>
      </c>
      <c r="M897" s="15">
        <f t="shared" si="40"/>
        <v>3894.768</v>
      </c>
      <c r="N897" s="15">
        <f t="shared" si="41"/>
        <v>973.69200000000001</v>
      </c>
      <c r="O897" t="s">
        <v>15</v>
      </c>
    </row>
    <row r="898" spans="1:15" hidden="1" x14ac:dyDescent="0.35">
      <c r="A898" t="s">
        <v>1592</v>
      </c>
      <c r="B898" t="s">
        <v>573</v>
      </c>
      <c r="C898">
        <v>58</v>
      </c>
      <c r="D898" s="8" t="str" cm="1">
        <f t="array" ref="D898">_xlfn.IFS(C898&lt;=2, "Infant", C898&lt;=11, "Child", C898&lt;=17, "Adolescent", C898&lt;=44, "Young Adult", C898&lt;=64, "Middle Aged", C898&lt;=84,"Young Old", C898&gt;=85,"Oldest Old")</f>
        <v>Middle Aged</v>
      </c>
      <c r="E898" t="s">
        <v>12</v>
      </c>
      <c r="F898" s="4">
        <v>45833</v>
      </c>
      <c r="G898" s="4">
        <v>45847</v>
      </c>
      <c r="H898" s="7">
        <f t="shared" si="39"/>
        <v>14</v>
      </c>
      <c r="I898" t="s">
        <v>60</v>
      </c>
      <c r="J898" t="s">
        <v>61</v>
      </c>
      <c r="K898" s="2">
        <v>34197.050000000003</v>
      </c>
      <c r="L898" s="9">
        <v>0.8</v>
      </c>
      <c r="M898" s="15">
        <f t="shared" si="40"/>
        <v>27357.640000000003</v>
      </c>
      <c r="N898" s="15">
        <f t="shared" si="41"/>
        <v>6839.41</v>
      </c>
      <c r="O898" t="s">
        <v>15</v>
      </c>
    </row>
    <row r="899" spans="1:15" hidden="1" x14ac:dyDescent="0.35">
      <c r="A899" t="s">
        <v>1593</v>
      </c>
      <c r="B899" t="s">
        <v>1594</v>
      </c>
      <c r="C899">
        <v>60</v>
      </c>
      <c r="D899" s="8" t="str" cm="1">
        <f t="array" ref="D899">_xlfn.IFS(C899&lt;=2, "Infant", C899&lt;=11, "Child", C899&lt;=17, "Adolescent", C899&lt;=44, "Young Adult", C899&lt;=64, "Middle Aged", C899&lt;=84,"Young Old", C899&gt;=85,"Oldest Old")</f>
        <v>Middle Aged</v>
      </c>
      <c r="E899" t="s">
        <v>18</v>
      </c>
      <c r="F899" s="4">
        <v>45331</v>
      </c>
      <c r="G899" s="4">
        <v>45332</v>
      </c>
      <c r="H899" s="7">
        <f t="shared" ref="H899:H962" si="42">DATEDIF(F899,G899,"D")</f>
        <v>1</v>
      </c>
      <c r="I899" t="s">
        <v>31</v>
      </c>
      <c r="J899" t="s">
        <v>114</v>
      </c>
      <c r="K899" s="2">
        <v>647.75</v>
      </c>
      <c r="L899" s="9">
        <v>0.8</v>
      </c>
      <c r="M899" s="15">
        <f t="shared" ref="M899:M962" si="43">L899*K899</f>
        <v>518.20000000000005</v>
      </c>
      <c r="N899" s="15">
        <f t="shared" ref="N899:N962" si="44">K899-M899</f>
        <v>129.54999999999995</v>
      </c>
      <c r="O899" t="s">
        <v>15</v>
      </c>
    </row>
    <row r="900" spans="1:15" hidden="1" x14ac:dyDescent="0.35">
      <c r="A900" t="s">
        <v>1595</v>
      </c>
      <c r="B900" t="s">
        <v>1596</v>
      </c>
      <c r="C900">
        <v>5</v>
      </c>
      <c r="D900" s="8" t="str" cm="1">
        <f t="array" ref="D900">_xlfn.IFS(C900&lt;=2, "Infant", C900&lt;=11, "Child", C900&lt;=17, "Adolescent", C900&lt;=44, "Young Adult", C900&lt;=64, "Middle Aged", C900&lt;=84,"Young Old", C900&gt;=85,"Oldest Old")</f>
        <v>Child</v>
      </c>
      <c r="E900" t="s">
        <v>18</v>
      </c>
      <c r="F900" s="4">
        <v>45461</v>
      </c>
      <c r="G900" s="4">
        <v>45466</v>
      </c>
      <c r="H900" s="7">
        <f t="shared" si="42"/>
        <v>5</v>
      </c>
      <c r="I900" t="s">
        <v>49</v>
      </c>
      <c r="J900" t="s">
        <v>123</v>
      </c>
      <c r="K900" s="2">
        <v>3913.66</v>
      </c>
      <c r="L900" s="9">
        <v>0.9</v>
      </c>
      <c r="M900" s="15">
        <f t="shared" si="43"/>
        <v>3522.2939999999999</v>
      </c>
      <c r="N900" s="15">
        <f t="shared" si="44"/>
        <v>391.36599999999999</v>
      </c>
      <c r="O900" t="s">
        <v>20</v>
      </c>
    </row>
    <row r="901" spans="1:15" hidden="1" x14ac:dyDescent="0.35">
      <c r="A901" t="s">
        <v>1597</v>
      </c>
      <c r="B901" t="s">
        <v>474</v>
      </c>
      <c r="C901">
        <v>8</v>
      </c>
      <c r="D901" s="8" t="str" cm="1">
        <f t="array" ref="D901">_xlfn.IFS(C901&lt;=2, "Infant", C901&lt;=11, "Child", C901&lt;=17, "Adolescent", C901&lt;=44, "Young Adult", C901&lt;=64, "Middle Aged", C901&lt;=84,"Young Old", C901&gt;=85,"Oldest Old")</f>
        <v>Child</v>
      </c>
      <c r="E901" t="s">
        <v>12</v>
      </c>
      <c r="F901" s="4">
        <v>45717</v>
      </c>
      <c r="G901" s="4">
        <v>45722</v>
      </c>
      <c r="H901" s="7">
        <f t="shared" si="42"/>
        <v>5</v>
      </c>
      <c r="I901" t="s">
        <v>49</v>
      </c>
      <c r="J901" t="s">
        <v>120</v>
      </c>
      <c r="K901" s="2">
        <v>8364.6200000000008</v>
      </c>
      <c r="L901" s="9">
        <v>1</v>
      </c>
      <c r="M901" s="15">
        <f t="shared" si="43"/>
        <v>8364.6200000000008</v>
      </c>
      <c r="N901" s="15">
        <f t="shared" si="44"/>
        <v>0</v>
      </c>
      <c r="O901" t="s">
        <v>15</v>
      </c>
    </row>
    <row r="902" spans="1:15" hidden="1" x14ac:dyDescent="0.35">
      <c r="A902" t="s">
        <v>1598</v>
      </c>
      <c r="B902" t="s">
        <v>1599</v>
      </c>
      <c r="C902">
        <v>8</v>
      </c>
      <c r="D902" s="8" t="str" cm="1">
        <f t="array" ref="D902">_xlfn.IFS(C902&lt;=2, "Infant", C902&lt;=11, "Child", C902&lt;=17, "Adolescent", C902&lt;=44, "Young Adult", C902&lt;=64, "Middle Aged", C902&lt;=84,"Young Old", C902&gt;=85,"Oldest Old")</f>
        <v>Child</v>
      </c>
      <c r="E902" t="s">
        <v>18</v>
      </c>
      <c r="F902" s="4">
        <v>45991</v>
      </c>
      <c r="G902" s="4">
        <v>45992</v>
      </c>
      <c r="H902" s="7">
        <f t="shared" si="42"/>
        <v>1</v>
      </c>
      <c r="I902" t="s">
        <v>49</v>
      </c>
      <c r="J902" t="s">
        <v>123</v>
      </c>
      <c r="K902" s="2">
        <v>750.94</v>
      </c>
      <c r="L902" s="9">
        <v>0.6</v>
      </c>
      <c r="M902" s="15">
        <f t="shared" si="43"/>
        <v>450.56400000000002</v>
      </c>
      <c r="N902" s="15">
        <f t="shared" si="44"/>
        <v>300.37600000000003</v>
      </c>
      <c r="O902" t="s">
        <v>20</v>
      </c>
    </row>
    <row r="903" spans="1:15" hidden="1" x14ac:dyDescent="0.35">
      <c r="A903" t="s">
        <v>1600</v>
      </c>
      <c r="B903" t="s">
        <v>106</v>
      </c>
      <c r="C903">
        <v>21</v>
      </c>
      <c r="D903" s="8" t="str" cm="1">
        <f t="array" ref="D903">_xlfn.IFS(C903&lt;=2, "Infant", C903&lt;=11, "Child", C903&lt;=17, "Adolescent", C903&lt;=44, "Young Adult", C903&lt;=64, "Middle Aged", C903&lt;=84,"Young Old", C903&gt;=85,"Oldest Old")</f>
        <v>Young Adult</v>
      </c>
      <c r="E903" t="s">
        <v>18</v>
      </c>
      <c r="F903" s="4">
        <v>45915</v>
      </c>
      <c r="G903" s="4">
        <v>45916</v>
      </c>
      <c r="H903" s="7">
        <f t="shared" si="42"/>
        <v>1</v>
      </c>
      <c r="I903" t="s">
        <v>23</v>
      </c>
      <c r="J903" t="s">
        <v>204</v>
      </c>
      <c r="K903" s="2">
        <v>1602.23</v>
      </c>
      <c r="L903" s="9">
        <v>0.9</v>
      </c>
      <c r="M903" s="15">
        <f t="shared" si="43"/>
        <v>1442.0070000000001</v>
      </c>
      <c r="N903" s="15">
        <f t="shared" si="44"/>
        <v>160.22299999999996</v>
      </c>
      <c r="O903" t="s">
        <v>15</v>
      </c>
    </row>
    <row r="904" spans="1:15" hidden="1" x14ac:dyDescent="0.35">
      <c r="A904" t="s">
        <v>1601</v>
      </c>
      <c r="B904" t="s">
        <v>1602</v>
      </c>
      <c r="C904">
        <v>26</v>
      </c>
      <c r="D904" s="8" t="str" cm="1">
        <f t="array" ref="D904">_xlfn.IFS(C904&lt;=2, "Infant", C904&lt;=11, "Child", C904&lt;=17, "Adolescent", C904&lt;=44, "Young Adult", C904&lt;=64, "Middle Aged", C904&lt;=84,"Young Old", C904&gt;=85,"Oldest Old")</f>
        <v>Young Adult</v>
      </c>
      <c r="E904" t="s">
        <v>12</v>
      </c>
      <c r="F904" s="4">
        <v>46019</v>
      </c>
      <c r="G904" s="4">
        <v>46022</v>
      </c>
      <c r="H904" s="7">
        <f t="shared" si="42"/>
        <v>3</v>
      </c>
      <c r="I904" t="s">
        <v>60</v>
      </c>
      <c r="J904" t="s">
        <v>77</v>
      </c>
      <c r="K904" s="2">
        <v>3905.3</v>
      </c>
      <c r="L904" s="9">
        <v>0.8</v>
      </c>
      <c r="M904" s="15">
        <f t="shared" si="43"/>
        <v>3124.2400000000002</v>
      </c>
      <c r="N904" s="15">
        <f t="shared" si="44"/>
        <v>781.06</v>
      </c>
      <c r="O904" t="s">
        <v>20</v>
      </c>
    </row>
    <row r="905" spans="1:15" hidden="1" x14ac:dyDescent="0.35">
      <c r="A905" t="s">
        <v>1603</v>
      </c>
      <c r="B905" t="s">
        <v>624</v>
      </c>
      <c r="C905">
        <v>56</v>
      </c>
      <c r="D905" s="8" t="str" cm="1">
        <f t="array" ref="D905">_xlfn.IFS(C905&lt;=2, "Infant", C905&lt;=11, "Child", C905&lt;=17, "Adolescent", C905&lt;=44, "Young Adult", C905&lt;=64, "Middle Aged", C905&lt;=84,"Young Old", C905&gt;=85,"Oldest Old")</f>
        <v>Middle Aged</v>
      </c>
      <c r="E905" t="s">
        <v>12</v>
      </c>
      <c r="F905" s="4">
        <v>45716</v>
      </c>
      <c r="G905" s="4">
        <v>45720</v>
      </c>
      <c r="H905" s="7">
        <f t="shared" si="42"/>
        <v>4</v>
      </c>
      <c r="I905" t="s">
        <v>13</v>
      </c>
      <c r="J905" t="s">
        <v>38</v>
      </c>
      <c r="K905" s="2">
        <v>10882.46</v>
      </c>
      <c r="L905" s="9">
        <v>0</v>
      </c>
      <c r="M905" s="15">
        <f t="shared" si="43"/>
        <v>0</v>
      </c>
      <c r="N905" s="15">
        <f t="shared" si="44"/>
        <v>10882.46</v>
      </c>
      <c r="O905" t="s">
        <v>25</v>
      </c>
    </row>
    <row r="906" spans="1:15" hidden="1" x14ac:dyDescent="0.35">
      <c r="A906" t="s">
        <v>1604</v>
      </c>
      <c r="B906" t="s">
        <v>1605</v>
      </c>
      <c r="C906">
        <v>40</v>
      </c>
      <c r="D906" s="8" t="str" cm="1">
        <f t="array" ref="D906">_xlfn.IFS(C906&lt;=2, "Infant", C906&lt;=11, "Child", C906&lt;=17, "Adolescent", C906&lt;=44, "Young Adult", C906&lt;=64, "Middle Aged", C906&lt;=84,"Young Old", C906&gt;=85,"Oldest Old")</f>
        <v>Young Adult</v>
      </c>
      <c r="E906" t="s">
        <v>18</v>
      </c>
      <c r="F906" s="4">
        <v>45992</v>
      </c>
      <c r="G906" s="4">
        <v>45996</v>
      </c>
      <c r="H906" s="7">
        <f t="shared" si="42"/>
        <v>4</v>
      </c>
      <c r="I906" t="s">
        <v>31</v>
      </c>
      <c r="J906" t="s">
        <v>53</v>
      </c>
      <c r="K906" s="2">
        <v>3645.87</v>
      </c>
      <c r="L906" s="9">
        <v>0.7</v>
      </c>
      <c r="M906" s="15">
        <f t="shared" si="43"/>
        <v>2552.1089999999999</v>
      </c>
      <c r="N906" s="15">
        <f t="shared" si="44"/>
        <v>1093.761</v>
      </c>
      <c r="O906" t="s">
        <v>20</v>
      </c>
    </row>
    <row r="907" spans="1:15" hidden="1" x14ac:dyDescent="0.35">
      <c r="A907" t="s">
        <v>1606</v>
      </c>
      <c r="B907" t="s">
        <v>1607</v>
      </c>
      <c r="C907">
        <v>40</v>
      </c>
      <c r="D907" s="8" t="str" cm="1">
        <f t="array" ref="D907">_xlfn.IFS(C907&lt;=2, "Infant", C907&lt;=11, "Child", C907&lt;=17, "Adolescent", C907&lt;=44, "Young Adult", C907&lt;=64, "Middle Aged", C907&lt;=84,"Young Old", C907&gt;=85,"Oldest Old")</f>
        <v>Young Adult</v>
      </c>
      <c r="E907" t="s">
        <v>18</v>
      </c>
      <c r="F907" s="4">
        <v>45754</v>
      </c>
      <c r="G907" s="4">
        <v>45760</v>
      </c>
      <c r="H907" s="7">
        <f t="shared" si="42"/>
        <v>6</v>
      </c>
      <c r="I907" t="s">
        <v>31</v>
      </c>
      <c r="J907" t="s">
        <v>234</v>
      </c>
      <c r="K907" s="2">
        <v>5871.8</v>
      </c>
      <c r="L907" s="9">
        <v>0.9</v>
      </c>
      <c r="M907" s="15">
        <f t="shared" si="43"/>
        <v>5284.62</v>
      </c>
      <c r="N907" s="15">
        <f t="shared" si="44"/>
        <v>587.18000000000029</v>
      </c>
      <c r="O907" t="s">
        <v>25</v>
      </c>
    </row>
    <row r="908" spans="1:15" hidden="1" x14ac:dyDescent="0.35">
      <c r="A908" t="s">
        <v>1608</v>
      </c>
      <c r="B908" t="s">
        <v>750</v>
      </c>
      <c r="C908">
        <v>34</v>
      </c>
      <c r="D908" s="8" t="str" cm="1">
        <f t="array" ref="D908">_xlfn.IFS(C908&lt;=2, "Infant", C908&lt;=11, "Child", C908&lt;=17, "Adolescent", C908&lt;=44, "Young Adult", C908&lt;=64, "Middle Aged", C908&lt;=84,"Young Old", C908&gt;=85,"Oldest Old")</f>
        <v>Young Adult</v>
      </c>
      <c r="E908" t="s">
        <v>18</v>
      </c>
      <c r="F908" s="4">
        <v>45326</v>
      </c>
      <c r="G908" s="4">
        <v>45329</v>
      </c>
      <c r="H908" s="7">
        <f t="shared" si="42"/>
        <v>3</v>
      </c>
      <c r="I908" t="s">
        <v>31</v>
      </c>
      <c r="J908" t="s">
        <v>114</v>
      </c>
      <c r="K908" s="2">
        <v>2527.5100000000002</v>
      </c>
      <c r="L908" s="9">
        <v>0.6</v>
      </c>
      <c r="M908" s="15">
        <f t="shared" si="43"/>
        <v>1516.5060000000001</v>
      </c>
      <c r="N908" s="15">
        <f t="shared" si="44"/>
        <v>1011.0040000000001</v>
      </c>
      <c r="O908" t="s">
        <v>20</v>
      </c>
    </row>
    <row r="909" spans="1:15" hidden="1" x14ac:dyDescent="0.35">
      <c r="A909" t="s">
        <v>1609</v>
      </c>
      <c r="B909" t="s">
        <v>229</v>
      </c>
      <c r="C909">
        <v>40</v>
      </c>
      <c r="D909" s="8" t="str" cm="1">
        <f t="array" ref="D909">_xlfn.IFS(C909&lt;=2, "Infant", C909&lt;=11, "Child", C909&lt;=17, "Adolescent", C909&lt;=44, "Young Adult", C909&lt;=64, "Middle Aged", C909&lt;=84,"Young Old", C909&gt;=85,"Oldest Old")</f>
        <v>Young Adult</v>
      </c>
      <c r="E909" t="s">
        <v>18</v>
      </c>
      <c r="F909" s="4">
        <v>45518</v>
      </c>
      <c r="G909" s="4">
        <v>45524</v>
      </c>
      <c r="H909" s="7">
        <f t="shared" si="42"/>
        <v>6</v>
      </c>
      <c r="I909" t="s">
        <v>13</v>
      </c>
      <c r="J909" t="s">
        <v>14</v>
      </c>
      <c r="K909" s="2">
        <v>11311.32</v>
      </c>
      <c r="L909" s="9">
        <v>1</v>
      </c>
      <c r="M909" s="15">
        <f t="shared" si="43"/>
        <v>11311.32</v>
      </c>
      <c r="N909" s="15">
        <f t="shared" si="44"/>
        <v>0</v>
      </c>
      <c r="O909" t="s">
        <v>20</v>
      </c>
    </row>
    <row r="910" spans="1:15" hidden="1" x14ac:dyDescent="0.35">
      <c r="A910" t="s">
        <v>1610</v>
      </c>
      <c r="B910" t="s">
        <v>1611</v>
      </c>
      <c r="C910">
        <v>35</v>
      </c>
      <c r="D910" s="8" t="str" cm="1">
        <f t="array" ref="D910">_xlfn.IFS(C910&lt;=2, "Infant", C910&lt;=11, "Child", C910&lt;=17, "Adolescent", C910&lt;=44, "Young Adult", C910&lt;=64, "Middle Aged", C910&lt;=84,"Young Old", C910&gt;=85,"Oldest Old")</f>
        <v>Young Adult</v>
      </c>
      <c r="E910" t="s">
        <v>12</v>
      </c>
      <c r="F910" s="4">
        <v>45447</v>
      </c>
      <c r="G910" s="4">
        <v>45453</v>
      </c>
      <c r="H910" s="7">
        <f t="shared" si="42"/>
        <v>6</v>
      </c>
      <c r="I910" t="s">
        <v>60</v>
      </c>
      <c r="J910" t="s">
        <v>133</v>
      </c>
      <c r="K910" s="2">
        <v>14294.04</v>
      </c>
      <c r="L910" s="9">
        <v>0.8</v>
      </c>
      <c r="M910" s="15">
        <f t="shared" si="43"/>
        <v>11435.232000000002</v>
      </c>
      <c r="N910" s="15">
        <f t="shared" si="44"/>
        <v>2858.8079999999991</v>
      </c>
      <c r="O910" t="s">
        <v>15</v>
      </c>
    </row>
    <row r="911" spans="1:15" hidden="1" x14ac:dyDescent="0.35">
      <c r="A911" t="s">
        <v>1612</v>
      </c>
      <c r="B911" t="s">
        <v>1613</v>
      </c>
      <c r="C911">
        <v>15</v>
      </c>
      <c r="D911" s="8" t="str" cm="1">
        <f t="array" ref="D911">_xlfn.IFS(C911&lt;=2, "Infant", C911&lt;=11, "Child", C911&lt;=17, "Adolescent", C911&lt;=44, "Young Adult", C911&lt;=64, "Middle Aged", C911&lt;=84,"Young Old", C911&gt;=85,"Oldest Old")</f>
        <v>Adolescent</v>
      </c>
      <c r="E911" t="s">
        <v>18</v>
      </c>
      <c r="F911" s="4">
        <v>45831</v>
      </c>
      <c r="G911" s="4">
        <v>45833</v>
      </c>
      <c r="H911" s="7">
        <f t="shared" si="42"/>
        <v>2</v>
      </c>
      <c r="I911" t="s">
        <v>49</v>
      </c>
      <c r="J911" t="s">
        <v>120</v>
      </c>
      <c r="K911" s="2">
        <v>3325.48</v>
      </c>
      <c r="L911" s="9">
        <v>0.6</v>
      </c>
      <c r="M911" s="15">
        <f t="shared" si="43"/>
        <v>1995.288</v>
      </c>
      <c r="N911" s="15">
        <f t="shared" si="44"/>
        <v>1330.192</v>
      </c>
      <c r="O911" t="s">
        <v>15</v>
      </c>
    </row>
    <row r="912" spans="1:15" hidden="1" x14ac:dyDescent="0.35">
      <c r="A912" t="s">
        <v>1614</v>
      </c>
      <c r="B912" t="s">
        <v>1611</v>
      </c>
      <c r="C912">
        <v>84</v>
      </c>
      <c r="D912" s="8" t="str" cm="1">
        <f t="array" ref="D912">_xlfn.IFS(C912&lt;=2, "Infant", C912&lt;=11, "Child", C912&lt;=17, "Adolescent", C912&lt;=44, "Young Adult", C912&lt;=64, "Middle Aged", C912&lt;=84,"Young Old", C912&gt;=85,"Oldest Old")</f>
        <v>Young Old</v>
      </c>
      <c r="E912" t="s">
        <v>12</v>
      </c>
      <c r="F912" s="4">
        <v>46011</v>
      </c>
      <c r="G912" s="4">
        <v>46012</v>
      </c>
      <c r="H912" s="7">
        <f t="shared" si="42"/>
        <v>1</v>
      </c>
      <c r="I912" t="s">
        <v>31</v>
      </c>
      <c r="J912" t="s">
        <v>44</v>
      </c>
      <c r="K912" s="2">
        <v>583.35</v>
      </c>
      <c r="L912" s="9">
        <v>0.5</v>
      </c>
      <c r="M912" s="15">
        <f t="shared" si="43"/>
        <v>291.67500000000001</v>
      </c>
      <c r="N912" s="15">
        <f t="shared" si="44"/>
        <v>291.67500000000001</v>
      </c>
      <c r="O912" t="s">
        <v>25</v>
      </c>
    </row>
    <row r="913" spans="1:15" hidden="1" x14ac:dyDescent="0.35">
      <c r="A913" t="s">
        <v>1615</v>
      </c>
      <c r="B913" t="s">
        <v>950</v>
      </c>
      <c r="C913">
        <v>54</v>
      </c>
      <c r="D913" s="8" t="str" cm="1">
        <f t="array" ref="D913">_xlfn.IFS(C913&lt;=2, "Infant", C913&lt;=11, "Child", C913&lt;=17, "Adolescent", C913&lt;=44, "Young Adult", C913&lt;=64, "Middle Aged", C913&lt;=84,"Young Old", C913&gt;=85,"Oldest Old")</f>
        <v>Middle Aged</v>
      </c>
      <c r="E913" t="s">
        <v>12</v>
      </c>
      <c r="F913" s="4">
        <v>45322</v>
      </c>
      <c r="G913" s="4">
        <v>45328</v>
      </c>
      <c r="H913" s="7">
        <f t="shared" si="42"/>
        <v>6</v>
      </c>
      <c r="I913" t="s">
        <v>31</v>
      </c>
      <c r="J913" t="s">
        <v>234</v>
      </c>
      <c r="K913" s="2">
        <v>6644.98</v>
      </c>
      <c r="L913" s="9">
        <v>0.9</v>
      </c>
      <c r="M913" s="15">
        <f t="shared" si="43"/>
        <v>5980.482</v>
      </c>
      <c r="N913" s="15">
        <f t="shared" si="44"/>
        <v>664.49799999999959</v>
      </c>
      <c r="O913" t="s">
        <v>15</v>
      </c>
    </row>
    <row r="914" spans="1:15" hidden="1" x14ac:dyDescent="0.35">
      <c r="A914" t="s">
        <v>1616</v>
      </c>
      <c r="B914" t="s">
        <v>65</v>
      </c>
      <c r="C914">
        <v>75</v>
      </c>
      <c r="D914" s="8" t="str" cm="1">
        <f t="array" ref="D914">_xlfn.IFS(C914&lt;=2, "Infant", C914&lt;=11, "Child", C914&lt;=17, "Adolescent", C914&lt;=44, "Young Adult", C914&lt;=64, "Middle Aged", C914&lt;=84,"Young Old", C914&gt;=85,"Oldest Old")</f>
        <v>Young Old</v>
      </c>
      <c r="E914" t="s">
        <v>12</v>
      </c>
      <c r="F914" s="4">
        <v>45840</v>
      </c>
      <c r="G914" s="4">
        <v>45844</v>
      </c>
      <c r="H914" s="7">
        <f t="shared" si="42"/>
        <v>4</v>
      </c>
      <c r="I914" t="s">
        <v>60</v>
      </c>
      <c r="J914" t="s">
        <v>61</v>
      </c>
      <c r="K914" s="2">
        <v>6709.11</v>
      </c>
      <c r="L914" s="9">
        <v>0.8</v>
      </c>
      <c r="M914" s="15">
        <f t="shared" si="43"/>
        <v>5367.2880000000005</v>
      </c>
      <c r="N914" s="15">
        <f t="shared" si="44"/>
        <v>1341.8219999999992</v>
      </c>
      <c r="O914" t="s">
        <v>25</v>
      </c>
    </row>
    <row r="915" spans="1:15" hidden="1" x14ac:dyDescent="0.35">
      <c r="A915" t="s">
        <v>1617</v>
      </c>
      <c r="B915" t="s">
        <v>1288</v>
      </c>
      <c r="C915">
        <v>32</v>
      </c>
      <c r="D915" s="8" t="str" cm="1">
        <f t="array" ref="D915">_xlfn.IFS(C915&lt;=2, "Infant", C915&lt;=11, "Child", C915&lt;=17, "Adolescent", C915&lt;=44, "Young Adult", C915&lt;=64, "Middle Aged", C915&lt;=84,"Young Old", C915&gt;=85,"Oldest Old")</f>
        <v>Young Adult</v>
      </c>
      <c r="E915" t="s">
        <v>12</v>
      </c>
      <c r="F915" s="4">
        <v>45385</v>
      </c>
      <c r="G915" s="4">
        <v>45389</v>
      </c>
      <c r="H915" s="7">
        <f t="shared" si="42"/>
        <v>4</v>
      </c>
      <c r="I915" t="s">
        <v>70</v>
      </c>
      <c r="J915" t="s">
        <v>157</v>
      </c>
      <c r="K915" s="2">
        <v>7216.27</v>
      </c>
      <c r="L915" s="9">
        <v>0.8</v>
      </c>
      <c r="M915" s="15">
        <f t="shared" si="43"/>
        <v>5773.0160000000005</v>
      </c>
      <c r="N915" s="15">
        <f t="shared" si="44"/>
        <v>1443.2539999999999</v>
      </c>
      <c r="O915" t="s">
        <v>20</v>
      </c>
    </row>
    <row r="916" spans="1:15" hidden="1" x14ac:dyDescent="0.35">
      <c r="A916" t="s">
        <v>1618</v>
      </c>
      <c r="B916" t="s">
        <v>1619</v>
      </c>
      <c r="C916">
        <v>45</v>
      </c>
      <c r="D916" s="8" t="str" cm="1">
        <f t="array" ref="D916">_xlfn.IFS(C916&lt;=2, "Infant", C916&lt;=11, "Child", C916&lt;=17, "Adolescent", C916&lt;=44, "Young Adult", C916&lt;=64, "Middle Aged", C916&lt;=84,"Young Old", C916&gt;=85,"Oldest Old")</f>
        <v>Middle Aged</v>
      </c>
      <c r="E916" t="s">
        <v>12</v>
      </c>
      <c r="F916" s="4">
        <v>45737</v>
      </c>
      <c r="G916" s="4">
        <v>45746</v>
      </c>
      <c r="H916" s="7">
        <f t="shared" si="42"/>
        <v>9</v>
      </c>
      <c r="I916" t="s">
        <v>70</v>
      </c>
      <c r="J916" t="s">
        <v>237</v>
      </c>
      <c r="K916" s="2">
        <v>13906.96</v>
      </c>
      <c r="L916" s="9">
        <v>0.8</v>
      </c>
      <c r="M916" s="15">
        <f t="shared" si="43"/>
        <v>11125.567999999999</v>
      </c>
      <c r="N916" s="15">
        <f t="shared" si="44"/>
        <v>2781.3919999999998</v>
      </c>
      <c r="O916" t="s">
        <v>15</v>
      </c>
    </row>
    <row r="917" spans="1:15" hidden="1" x14ac:dyDescent="0.35">
      <c r="A917" t="s">
        <v>1620</v>
      </c>
      <c r="B917" t="s">
        <v>1621</v>
      </c>
      <c r="C917">
        <v>68</v>
      </c>
      <c r="D917" s="8" t="str" cm="1">
        <f t="array" ref="D917">_xlfn.IFS(C917&lt;=2, "Infant", C917&lt;=11, "Child", C917&lt;=17, "Adolescent", C917&lt;=44, "Young Adult", C917&lt;=64, "Middle Aged", C917&lt;=84,"Young Old", C917&gt;=85,"Oldest Old")</f>
        <v>Young Old</v>
      </c>
      <c r="E917" t="s">
        <v>12</v>
      </c>
      <c r="F917" s="4">
        <v>45878</v>
      </c>
      <c r="G917" s="4">
        <v>45888</v>
      </c>
      <c r="H917" s="7">
        <f t="shared" si="42"/>
        <v>10</v>
      </c>
      <c r="I917" t="s">
        <v>60</v>
      </c>
      <c r="J917" t="s">
        <v>97</v>
      </c>
      <c r="K917" s="2">
        <v>19370.95</v>
      </c>
      <c r="L917" s="9">
        <v>0.7</v>
      </c>
      <c r="M917" s="15">
        <f t="shared" si="43"/>
        <v>13559.664999999999</v>
      </c>
      <c r="N917" s="15">
        <f t="shared" si="44"/>
        <v>5811.2850000000017</v>
      </c>
      <c r="O917" t="s">
        <v>20</v>
      </c>
    </row>
    <row r="918" spans="1:15" hidden="1" x14ac:dyDescent="0.35">
      <c r="A918" t="s">
        <v>1622</v>
      </c>
      <c r="B918" t="s">
        <v>1623</v>
      </c>
      <c r="C918">
        <v>42</v>
      </c>
      <c r="D918" s="8" t="str" cm="1">
        <f t="array" ref="D918">_xlfn.IFS(C918&lt;=2, "Infant", C918&lt;=11, "Child", C918&lt;=17, "Adolescent", C918&lt;=44, "Young Adult", C918&lt;=64, "Middle Aged", C918&lt;=84,"Young Old", C918&gt;=85,"Oldest Old")</f>
        <v>Young Adult</v>
      </c>
      <c r="E918" t="s">
        <v>18</v>
      </c>
      <c r="F918" s="4">
        <v>45452</v>
      </c>
      <c r="G918" s="4">
        <v>45459</v>
      </c>
      <c r="H918" s="7">
        <f t="shared" si="42"/>
        <v>7</v>
      </c>
      <c r="I918" t="s">
        <v>31</v>
      </c>
      <c r="J918" t="s">
        <v>53</v>
      </c>
      <c r="K918" s="2">
        <v>4618.17</v>
      </c>
      <c r="L918" s="9">
        <v>0.5</v>
      </c>
      <c r="M918" s="15">
        <f t="shared" si="43"/>
        <v>2309.085</v>
      </c>
      <c r="N918" s="15">
        <f t="shared" si="44"/>
        <v>2309.085</v>
      </c>
      <c r="O918" t="s">
        <v>25</v>
      </c>
    </row>
    <row r="919" spans="1:15" hidden="1" x14ac:dyDescent="0.35">
      <c r="A919" t="s">
        <v>1624</v>
      </c>
      <c r="B919" t="s">
        <v>1128</v>
      </c>
      <c r="C919">
        <v>35</v>
      </c>
      <c r="D919" s="8" t="str" cm="1">
        <f t="array" ref="D919">_xlfn.IFS(C919&lt;=2, "Infant", C919&lt;=11, "Child", C919&lt;=17, "Adolescent", C919&lt;=44, "Young Adult", C919&lt;=64, "Middle Aged", C919&lt;=84,"Young Old", C919&gt;=85,"Oldest Old")</f>
        <v>Young Adult</v>
      </c>
      <c r="E919" t="s">
        <v>12</v>
      </c>
      <c r="F919" s="4">
        <v>45661</v>
      </c>
      <c r="G919" s="4">
        <v>45664</v>
      </c>
      <c r="H919" s="7">
        <f t="shared" si="42"/>
        <v>3</v>
      </c>
      <c r="I919" t="s">
        <v>31</v>
      </c>
      <c r="J919" t="s">
        <v>53</v>
      </c>
      <c r="K919" s="2">
        <v>4249.75</v>
      </c>
      <c r="L919" s="9">
        <v>0.7</v>
      </c>
      <c r="M919" s="15">
        <f t="shared" si="43"/>
        <v>2974.8249999999998</v>
      </c>
      <c r="N919" s="15">
        <f t="shared" si="44"/>
        <v>1274.9250000000002</v>
      </c>
      <c r="O919" t="s">
        <v>25</v>
      </c>
    </row>
    <row r="920" spans="1:15" hidden="1" x14ac:dyDescent="0.35">
      <c r="A920" t="s">
        <v>1625</v>
      </c>
      <c r="B920" t="s">
        <v>592</v>
      </c>
      <c r="C920">
        <v>60</v>
      </c>
      <c r="D920" s="8" t="str" cm="1">
        <f t="array" ref="D920">_xlfn.IFS(C920&lt;=2, "Infant", C920&lt;=11, "Child", C920&lt;=17, "Adolescent", C920&lt;=44, "Young Adult", C920&lt;=64, "Middle Aged", C920&lt;=84,"Young Old", C920&gt;=85,"Oldest Old")</f>
        <v>Middle Aged</v>
      </c>
      <c r="E920" t="s">
        <v>12</v>
      </c>
      <c r="F920" s="4">
        <v>45293</v>
      </c>
      <c r="G920" s="4">
        <v>45297</v>
      </c>
      <c r="H920" s="7">
        <f t="shared" si="42"/>
        <v>4</v>
      </c>
      <c r="I920" t="s">
        <v>13</v>
      </c>
      <c r="J920" t="s">
        <v>14</v>
      </c>
      <c r="K920" s="2">
        <v>6532.53</v>
      </c>
      <c r="L920" s="9">
        <v>0.8</v>
      </c>
      <c r="M920" s="15">
        <f t="shared" si="43"/>
        <v>5226.0240000000003</v>
      </c>
      <c r="N920" s="15">
        <f t="shared" si="44"/>
        <v>1306.5059999999994</v>
      </c>
      <c r="O920" t="s">
        <v>25</v>
      </c>
    </row>
    <row r="921" spans="1:15" hidden="1" x14ac:dyDescent="0.35">
      <c r="A921" t="s">
        <v>1626</v>
      </c>
      <c r="B921" t="s">
        <v>814</v>
      </c>
      <c r="C921">
        <v>60</v>
      </c>
      <c r="D921" s="8" t="str" cm="1">
        <f t="array" ref="D921">_xlfn.IFS(C921&lt;=2, "Infant", C921&lt;=11, "Child", C921&lt;=17, "Adolescent", C921&lt;=44, "Young Adult", C921&lt;=64, "Middle Aged", C921&lt;=84,"Young Old", C921&gt;=85,"Oldest Old")</f>
        <v>Middle Aged</v>
      </c>
      <c r="E921" t="s">
        <v>18</v>
      </c>
      <c r="F921" s="4">
        <v>45628</v>
      </c>
      <c r="G921" s="4">
        <v>45633</v>
      </c>
      <c r="H921" s="7">
        <f t="shared" si="42"/>
        <v>5</v>
      </c>
      <c r="I921" t="s">
        <v>70</v>
      </c>
      <c r="J921" t="s">
        <v>295</v>
      </c>
      <c r="K921" s="2">
        <v>5729.57</v>
      </c>
      <c r="L921" s="9">
        <v>0.6</v>
      </c>
      <c r="M921" s="15">
        <f t="shared" si="43"/>
        <v>3437.7419999999997</v>
      </c>
      <c r="N921" s="15">
        <f t="shared" si="44"/>
        <v>2291.828</v>
      </c>
      <c r="O921" t="s">
        <v>15</v>
      </c>
    </row>
    <row r="922" spans="1:15" hidden="1" x14ac:dyDescent="0.35">
      <c r="A922" t="s">
        <v>1627</v>
      </c>
      <c r="B922" t="s">
        <v>63</v>
      </c>
      <c r="C922">
        <v>21</v>
      </c>
      <c r="D922" s="8" t="str" cm="1">
        <f t="array" ref="D922">_xlfn.IFS(C922&lt;=2, "Infant", C922&lt;=11, "Child", C922&lt;=17, "Adolescent", C922&lt;=44, "Young Adult", C922&lt;=64, "Middle Aged", C922&lt;=84,"Young Old", C922&gt;=85,"Oldest Old")</f>
        <v>Young Adult</v>
      </c>
      <c r="E922" t="s">
        <v>18</v>
      </c>
      <c r="F922" s="4">
        <v>45813</v>
      </c>
      <c r="G922" s="4">
        <v>45815</v>
      </c>
      <c r="H922" s="7">
        <f t="shared" si="42"/>
        <v>2</v>
      </c>
      <c r="I922" t="s">
        <v>31</v>
      </c>
      <c r="J922" t="s">
        <v>87</v>
      </c>
      <c r="K922" s="2">
        <v>2997.87</v>
      </c>
      <c r="L922" s="9">
        <v>0.7</v>
      </c>
      <c r="M922" s="15">
        <f t="shared" si="43"/>
        <v>2098.509</v>
      </c>
      <c r="N922" s="15">
        <f t="shared" si="44"/>
        <v>899.36099999999988</v>
      </c>
      <c r="O922" t="s">
        <v>15</v>
      </c>
    </row>
    <row r="923" spans="1:15" hidden="1" x14ac:dyDescent="0.35">
      <c r="A923" t="s">
        <v>1628</v>
      </c>
      <c r="B923" t="s">
        <v>719</v>
      </c>
      <c r="C923">
        <v>54</v>
      </c>
      <c r="D923" s="8" t="str" cm="1">
        <f t="array" ref="D923">_xlfn.IFS(C923&lt;=2, "Infant", C923&lt;=11, "Child", C923&lt;=17, "Adolescent", C923&lt;=44, "Young Adult", C923&lt;=64, "Middle Aged", C923&lt;=84,"Young Old", C923&gt;=85,"Oldest Old")</f>
        <v>Middle Aged</v>
      </c>
      <c r="E923" t="s">
        <v>12</v>
      </c>
      <c r="F923" s="4">
        <v>45594</v>
      </c>
      <c r="G923" s="4">
        <v>45600</v>
      </c>
      <c r="H923" s="7">
        <f t="shared" si="42"/>
        <v>6</v>
      </c>
      <c r="I923" t="s">
        <v>31</v>
      </c>
      <c r="J923" t="s">
        <v>53</v>
      </c>
      <c r="K923" s="2">
        <v>7526.27</v>
      </c>
      <c r="L923" s="9">
        <v>0.8</v>
      </c>
      <c r="M923" s="15">
        <f t="shared" si="43"/>
        <v>6021.0160000000005</v>
      </c>
      <c r="N923" s="15">
        <f t="shared" si="44"/>
        <v>1505.2539999999999</v>
      </c>
      <c r="O923" t="s">
        <v>15</v>
      </c>
    </row>
    <row r="924" spans="1:15" hidden="1" x14ac:dyDescent="0.35">
      <c r="A924" t="s">
        <v>1629</v>
      </c>
      <c r="B924" t="s">
        <v>1630</v>
      </c>
      <c r="C924">
        <v>29</v>
      </c>
      <c r="D924" s="8" t="str" cm="1">
        <f t="array" ref="D924">_xlfn.IFS(C924&lt;=2, "Infant", C924&lt;=11, "Child", C924&lt;=17, "Adolescent", C924&lt;=44, "Young Adult", C924&lt;=64, "Middle Aged", C924&lt;=84,"Young Old", C924&gt;=85,"Oldest Old")</f>
        <v>Young Adult</v>
      </c>
      <c r="E924" t="s">
        <v>18</v>
      </c>
      <c r="F924" s="4">
        <v>45460</v>
      </c>
      <c r="G924" s="4">
        <v>45462</v>
      </c>
      <c r="H924" s="7">
        <f t="shared" si="42"/>
        <v>2</v>
      </c>
      <c r="I924" t="s">
        <v>23</v>
      </c>
      <c r="J924" t="s">
        <v>24</v>
      </c>
      <c r="K924" s="2">
        <v>4378.0200000000004</v>
      </c>
      <c r="L924" s="9">
        <v>0.8</v>
      </c>
      <c r="M924" s="15">
        <f t="shared" si="43"/>
        <v>3502.4160000000006</v>
      </c>
      <c r="N924" s="15">
        <f t="shared" si="44"/>
        <v>875.60399999999981</v>
      </c>
      <c r="O924" t="s">
        <v>15</v>
      </c>
    </row>
    <row r="925" spans="1:15" hidden="1" x14ac:dyDescent="0.35">
      <c r="A925" t="s">
        <v>1631</v>
      </c>
      <c r="B925" t="s">
        <v>37</v>
      </c>
      <c r="C925">
        <v>36</v>
      </c>
      <c r="D925" s="8" t="str" cm="1">
        <f t="array" ref="D925">_xlfn.IFS(C925&lt;=2, "Infant", C925&lt;=11, "Child", C925&lt;=17, "Adolescent", C925&lt;=44, "Young Adult", C925&lt;=64, "Middle Aged", C925&lt;=84,"Young Old", C925&gt;=85,"Oldest Old")</f>
        <v>Young Adult</v>
      </c>
      <c r="E925" t="s">
        <v>18</v>
      </c>
      <c r="F925" s="4">
        <v>45582</v>
      </c>
      <c r="G925" s="4">
        <v>45590</v>
      </c>
      <c r="H925" s="7">
        <f t="shared" si="42"/>
        <v>8</v>
      </c>
      <c r="I925" t="s">
        <v>60</v>
      </c>
      <c r="J925" t="s">
        <v>142</v>
      </c>
      <c r="K925" s="2">
        <v>17866.580000000002</v>
      </c>
      <c r="L925" s="9">
        <v>0.9</v>
      </c>
      <c r="M925" s="15">
        <f t="shared" si="43"/>
        <v>16079.922000000002</v>
      </c>
      <c r="N925" s="15">
        <f t="shared" si="44"/>
        <v>1786.6579999999994</v>
      </c>
      <c r="O925" t="s">
        <v>25</v>
      </c>
    </row>
    <row r="926" spans="1:15" hidden="1" x14ac:dyDescent="0.35">
      <c r="A926" t="s">
        <v>1632</v>
      </c>
      <c r="B926" t="s">
        <v>958</v>
      </c>
      <c r="C926">
        <v>79</v>
      </c>
      <c r="D926" s="8" t="str" cm="1">
        <f t="array" ref="D926">_xlfn.IFS(C926&lt;=2, "Infant", C926&lt;=11, "Child", C926&lt;=17, "Adolescent", C926&lt;=44, "Young Adult", C926&lt;=64, "Middle Aged", C926&lt;=84,"Young Old", C926&gt;=85,"Oldest Old")</f>
        <v>Young Old</v>
      </c>
      <c r="E926" t="s">
        <v>12</v>
      </c>
      <c r="F926" s="4">
        <v>45734</v>
      </c>
      <c r="G926" s="4">
        <v>45738</v>
      </c>
      <c r="H926" s="7">
        <f t="shared" si="42"/>
        <v>4</v>
      </c>
      <c r="I926" t="s">
        <v>13</v>
      </c>
      <c r="J926" t="s">
        <v>111</v>
      </c>
      <c r="K926" s="2">
        <v>5517.67</v>
      </c>
      <c r="L926" s="9">
        <v>0.9</v>
      </c>
      <c r="M926" s="15">
        <f t="shared" si="43"/>
        <v>4965.9030000000002</v>
      </c>
      <c r="N926" s="15">
        <f t="shared" si="44"/>
        <v>551.76699999999983</v>
      </c>
      <c r="O926" t="s">
        <v>15</v>
      </c>
    </row>
    <row r="927" spans="1:15" hidden="1" x14ac:dyDescent="0.35">
      <c r="A927" t="s">
        <v>1633</v>
      </c>
      <c r="B927" t="s">
        <v>344</v>
      </c>
      <c r="C927">
        <v>48</v>
      </c>
      <c r="D927" s="8" t="str" cm="1">
        <f t="array" ref="D927">_xlfn.IFS(C927&lt;=2, "Infant", C927&lt;=11, "Child", C927&lt;=17, "Adolescent", C927&lt;=44, "Young Adult", C927&lt;=64, "Middle Aged", C927&lt;=84,"Young Old", C927&gt;=85,"Oldest Old")</f>
        <v>Middle Aged</v>
      </c>
      <c r="E927" t="s">
        <v>18</v>
      </c>
      <c r="F927" s="4">
        <v>45570</v>
      </c>
      <c r="G927" s="4">
        <v>45577</v>
      </c>
      <c r="H927" s="7">
        <f t="shared" si="42"/>
        <v>7</v>
      </c>
      <c r="I927" t="s">
        <v>70</v>
      </c>
      <c r="J927" t="s">
        <v>194</v>
      </c>
      <c r="K927" s="2">
        <v>14595.77</v>
      </c>
      <c r="L927" s="9">
        <v>0.8</v>
      </c>
      <c r="M927" s="15">
        <f t="shared" si="43"/>
        <v>11676.616000000002</v>
      </c>
      <c r="N927" s="15">
        <f t="shared" si="44"/>
        <v>2919.1539999999986</v>
      </c>
      <c r="O927" t="s">
        <v>15</v>
      </c>
    </row>
    <row r="928" spans="1:15" hidden="1" x14ac:dyDescent="0.35">
      <c r="A928" t="s">
        <v>1634</v>
      </c>
      <c r="B928" t="s">
        <v>1512</v>
      </c>
      <c r="C928">
        <v>42</v>
      </c>
      <c r="D928" s="8" t="str" cm="1">
        <f t="array" ref="D928">_xlfn.IFS(C928&lt;=2, "Infant", C928&lt;=11, "Child", C928&lt;=17, "Adolescent", C928&lt;=44, "Young Adult", C928&lt;=64, "Middle Aged", C928&lt;=84,"Young Old", C928&gt;=85,"Oldest Old")</f>
        <v>Young Adult</v>
      </c>
      <c r="E928" t="s">
        <v>12</v>
      </c>
      <c r="F928" s="4">
        <v>45626</v>
      </c>
      <c r="G928" s="4">
        <v>45627</v>
      </c>
      <c r="H928" s="7">
        <f t="shared" si="42"/>
        <v>1</v>
      </c>
      <c r="I928" t="s">
        <v>31</v>
      </c>
      <c r="J928" t="s">
        <v>44</v>
      </c>
      <c r="K928" s="2">
        <v>543.05999999999995</v>
      </c>
      <c r="L928" s="9">
        <v>0.5</v>
      </c>
      <c r="M928" s="15">
        <f t="shared" si="43"/>
        <v>271.52999999999997</v>
      </c>
      <c r="N928" s="15">
        <f t="shared" si="44"/>
        <v>271.52999999999997</v>
      </c>
      <c r="O928" t="s">
        <v>15</v>
      </c>
    </row>
    <row r="929" spans="1:15" hidden="1" x14ac:dyDescent="0.35">
      <c r="A929" t="s">
        <v>1635</v>
      </c>
      <c r="B929" t="s">
        <v>538</v>
      </c>
      <c r="C929">
        <v>25</v>
      </c>
      <c r="D929" s="8" t="str" cm="1">
        <f t="array" ref="D929">_xlfn.IFS(C929&lt;=2, "Infant", C929&lt;=11, "Child", C929&lt;=17, "Adolescent", C929&lt;=44, "Young Adult", C929&lt;=64, "Middle Aged", C929&lt;=84,"Young Old", C929&gt;=85,"Oldest Old")</f>
        <v>Young Adult</v>
      </c>
      <c r="E929" t="s">
        <v>18</v>
      </c>
      <c r="F929" s="4">
        <v>45316</v>
      </c>
      <c r="G929" s="4">
        <v>45321</v>
      </c>
      <c r="H929" s="7">
        <f t="shared" si="42"/>
        <v>5</v>
      </c>
      <c r="I929" t="s">
        <v>60</v>
      </c>
      <c r="J929" t="s">
        <v>74</v>
      </c>
      <c r="K929" s="2">
        <v>5082.0600000000004</v>
      </c>
      <c r="L929" s="9">
        <v>0</v>
      </c>
      <c r="M929" s="15">
        <f t="shared" si="43"/>
        <v>0</v>
      </c>
      <c r="N929" s="15">
        <f t="shared" si="44"/>
        <v>5082.0600000000004</v>
      </c>
      <c r="O929" t="s">
        <v>20</v>
      </c>
    </row>
    <row r="930" spans="1:15" hidden="1" x14ac:dyDescent="0.35">
      <c r="A930" t="s">
        <v>1636</v>
      </c>
      <c r="B930" t="s">
        <v>1637</v>
      </c>
      <c r="C930">
        <v>38</v>
      </c>
      <c r="D930" s="8" t="str" cm="1">
        <f t="array" ref="D930">_xlfn.IFS(C930&lt;=2, "Infant", C930&lt;=11, "Child", C930&lt;=17, "Adolescent", C930&lt;=44, "Young Adult", C930&lt;=64, "Middle Aged", C930&lt;=84,"Young Old", C930&gt;=85,"Oldest Old")</f>
        <v>Young Adult</v>
      </c>
      <c r="E930" t="s">
        <v>12</v>
      </c>
      <c r="F930" s="4">
        <v>45846</v>
      </c>
      <c r="G930" s="4">
        <v>45848</v>
      </c>
      <c r="H930" s="7">
        <f t="shared" si="42"/>
        <v>2</v>
      </c>
      <c r="I930" t="s">
        <v>23</v>
      </c>
      <c r="J930" t="s">
        <v>204</v>
      </c>
      <c r="K930" s="2">
        <v>2871.13</v>
      </c>
      <c r="L930" s="9">
        <v>0.9</v>
      </c>
      <c r="M930" s="15">
        <f t="shared" si="43"/>
        <v>2584.0170000000003</v>
      </c>
      <c r="N930" s="15">
        <f t="shared" si="44"/>
        <v>287.11299999999983</v>
      </c>
      <c r="O930" t="s">
        <v>15</v>
      </c>
    </row>
    <row r="931" spans="1:15" hidden="1" x14ac:dyDescent="0.35">
      <c r="A931" t="s">
        <v>1638</v>
      </c>
      <c r="B931" t="s">
        <v>1639</v>
      </c>
      <c r="C931">
        <v>67</v>
      </c>
      <c r="D931" s="8" t="str" cm="1">
        <f t="array" ref="D931">_xlfn.IFS(C931&lt;=2, "Infant", C931&lt;=11, "Child", C931&lt;=17, "Adolescent", C931&lt;=44, "Young Adult", C931&lt;=64, "Middle Aged", C931&lt;=84,"Young Old", C931&gt;=85,"Oldest Old")</f>
        <v>Young Old</v>
      </c>
      <c r="E931" t="s">
        <v>18</v>
      </c>
      <c r="F931" s="4">
        <v>45643</v>
      </c>
      <c r="G931" s="4">
        <v>45645</v>
      </c>
      <c r="H931" s="7">
        <f t="shared" si="42"/>
        <v>2</v>
      </c>
      <c r="I931" t="s">
        <v>60</v>
      </c>
      <c r="J931" t="s">
        <v>97</v>
      </c>
      <c r="K931" s="2">
        <v>4425.1499999999996</v>
      </c>
      <c r="L931" s="9">
        <v>0.7</v>
      </c>
      <c r="M931" s="15">
        <f t="shared" si="43"/>
        <v>3097.6049999999996</v>
      </c>
      <c r="N931" s="15">
        <f t="shared" si="44"/>
        <v>1327.5450000000001</v>
      </c>
      <c r="O931" t="s">
        <v>15</v>
      </c>
    </row>
    <row r="932" spans="1:15" hidden="1" x14ac:dyDescent="0.35">
      <c r="A932" t="s">
        <v>1640</v>
      </c>
      <c r="B932" t="s">
        <v>1641</v>
      </c>
      <c r="C932">
        <v>28</v>
      </c>
      <c r="D932" s="8" t="str" cm="1">
        <f t="array" ref="D932">_xlfn.IFS(C932&lt;=2, "Infant", C932&lt;=11, "Child", C932&lt;=17, "Adolescent", C932&lt;=44, "Young Adult", C932&lt;=64, "Middle Aged", C932&lt;=84,"Young Old", C932&gt;=85,"Oldest Old")</f>
        <v>Young Adult</v>
      </c>
      <c r="E932" t="s">
        <v>18</v>
      </c>
      <c r="F932" s="4">
        <v>45661</v>
      </c>
      <c r="G932" s="4">
        <v>45662</v>
      </c>
      <c r="H932" s="7">
        <f t="shared" si="42"/>
        <v>1</v>
      </c>
      <c r="I932" t="s">
        <v>23</v>
      </c>
      <c r="J932" t="s">
        <v>41</v>
      </c>
      <c r="K932" s="2">
        <v>1958.56</v>
      </c>
      <c r="L932" s="9">
        <v>0.8</v>
      </c>
      <c r="M932" s="15">
        <f t="shared" si="43"/>
        <v>1566.848</v>
      </c>
      <c r="N932" s="15">
        <f t="shared" si="44"/>
        <v>391.71199999999999</v>
      </c>
      <c r="O932" t="s">
        <v>15</v>
      </c>
    </row>
    <row r="933" spans="1:15" hidden="1" x14ac:dyDescent="0.35">
      <c r="A933" t="s">
        <v>1642</v>
      </c>
      <c r="B933" t="s">
        <v>1643</v>
      </c>
      <c r="C933">
        <v>68</v>
      </c>
      <c r="D933" s="8" t="str" cm="1">
        <f t="array" ref="D933">_xlfn.IFS(C933&lt;=2, "Infant", C933&lt;=11, "Child", C933&lt;=17, "Adolescent", C933&lt;=44, "Young Adult", C933&lt;=64, "Middle Aged", C933&lt;=84,"Young Old", C933&gt;=85,"Oldest Old")</f>
        <v>Young Old</v>
      </c>
      <c r="E933" t="s">
        <v>12</v>
      </c>
      <c r="F933" s="4">
        <v>45767</v>
      </c>
      <c r="G933" s="4">
        <v>45769</v>
      </c>
      <c r="H933" s="7">
        <f t="shared" si="42"/>
        <v>2</v>
      </c>
      <c r="I933" t="s">
        <v>31</v>
      </c>
      <c r="J933" t="s">
        <v>44</v>
      </c>
      <c r="K933" s="2">
        <v>2268.81</v>
      </c>
      <c r="L933" s="9">
        <v>0.8</v>
      </c>
      <c r="M933" s="15">
        <f t="shared" si="43"/>
        <v>1815.048</v>
      </c>
      <c r="N933" s="15">
        <f t="shared" si="44"/>
        <v>453.76199999999994</v>
      </c>
      <c r="O933" t="s">
        <v>15</v>
      </c>
    </row>
    <row r="934" spans="1:15" hidden="1" x14ac:dyDescent="0.35">
      <c r="A934" t="s">
        <v>1644</v>
      </c>
      <c r="B934" t="s">
        <v>43</v>
      </c>
      <c r="C934">
        <v>41</v>
      </c>
      <c r="D934" s="8" t="str" cm="1">
        <f t="array" ref="D934">_xlfn.IFS(C934&lt;=2, "Infant", C934&lt;=11, "Child", C934&lt;=17, "Adolescent", C934&lt;=44, "Young Adult", C934&lt;=64, "Middle Aged", C934&lt;=84,"Young Old", C934&gt;=85,"Oldest Old")</f>
        <v>Young Adult</v>
      </c>
      <c r="E934" t="s">
        <v>12</v>
      </c>
      <c r="F934" s="4">
        <v>45895</v>
      </c>
      <c r="G934" s="4">
        <v>45904</v>
      </c>
      <c r="H934" s="7">
        <f t="shared" si="42"/>
        <v>9</v>
      </c>
      <c r="I934" t="s">
        <v>70</v>
      </c>
      <c r="J934" t="s">
        <v>71</v>
      </c>
      <c r="K934" s="2">
        <v>22621.47</v>
      </c>
      <c r="L934" s="9">
        <v>0.7</v>
      </c>
      <c r="M934" s="15">
        <f t="shared" si="43"/>
        <v>15835.029</v>
      </c>
      <c r="N934" s="15">
        <f t="shared" si="44"/>
        <v>6786.4410000000007</v>
      </c>
      <c r="O934" t="s">
        <v>25</v>
      </c>
    </row>
    <row r="935" spans="1:15" hidden="1" x14ac:dyDescent="0.35">
      <c r="A935" t="s">
        <v>1645</v>
      </c>
      <c r="B935" t="s">
        <v>1646</v>
      </c>
      <c r="C935">
        <v>46</v>
      </c>
      <c r="D935" s="8" t="str" cm="1">
        <f t="array" ref="D935">_xlfn.IFS(C935&lt;=2, "Infant", C935&lt;=11, "Child", C935&lt;=17, "Adolescent", C935&lt;=44, "Young Adult", C935&lt;=64, "Middle Aged", C935&lt;=84,"Young Old", C935&gt;=85,"Oldest Old")</f>
        <v>Middle Aged</v>
      </c>
      <c r="E935" t="s">
        <v>18</v>
      </c>
      <c r="F935" s="4">
        <v>45978</v>
      </c>
      <c r="G935" s="4">
        <v>45981</v>
      </c>
      <c r="H935" s="7">
        <f t="shared" si="42"/>
        <v>3</v>
      </c>
      <c r="I935" t="s">
        <v>60</v>
      </c>
      <c r="J935" t="s">
        <v>77</v>
      </c>
      <c r="K935" s="2">
        <v>3972.12</v>
      </c>
      <c r="L935" s="9">
        <v>0.5</v>
      </c>
      <c r="M935" s="15">
        <f t="shared" si="43"/>
        <v>1986.06</v>
      </c>
      <c r="N935" s="15">
        <f t="shared" si="44"/>
        <v>1986.06</v>
      </c>
      <c r="O935" t="s">
        <v>20</v>
      </c>
    </row>
    <row r="936" spans="1:15" hidden="1" x14ac:dyDescent="0.35">
      <c r="A936" t="s">
        <v>1647</v>
      </c>
      <c r="B936" t="s">
        <v>519</v>
      </c>
      <c r="C936">
        <v>16</v>
      </c>
      <c r="D936" s="8" t="str" cm="1">
        <f t="array" ref="D936">_xlfn.IFS(C936&lt;=2, "Infant", C936&lt;=11, "Child", C936&lt;=17, "Adolescent", C936&lt;=44, "Young Adult", C936&lt;=64, "Middle Aged", C936&lt;=84,"Young Old", C936&gt;=85,"Oldest Old")</f>
        <v>Adolescent</v>
      </c>
      <c r="E936" t="s">
        <v>18</v>
      </c>
      <c r="F936" s="4">
        <v>45414</v>
      </c>
      <c r="G936" s="4">
        <v>45415</v>
      </c>
      <c r="H936" s="7">
        <f t="shared" si="42"/>
        <v>1</v>
      </c>
      <c r="I936" t="s">
        <v>49</v>
      </c>
      <c r="J936" t="s">
        <v>50</v>
      </c>
      <c r="K936" s="2">
        <v>921.67</v>
      </c>
      <c r="L936" s="9">
        <v>1</v>
      </c>
      <c r="M936" s="15">
        <f t="shared" si="43"/>
        <v>921.67</v>
      </c>
      <c r="N936" s="15">
        <f t="shared" si="44"/>
        <v>0</v>
      </c>
      <c r="O936" t="s">
        <v>15</v>
      </c>
    </row>
    <row r="937" spans="1:15" hidden="1" x14ac:dyDescent="0.35">
      <c r="A937" t="s">
        <v>1648</v>
      </c>
      <c r="B937" t="s">
        <v>116</v>
      </c>
      <c r="C937">
        <v>48</v>
      </c>
      <c r="D937" s="8" t="str" cm="1">
        <f t="array" ref="D937">_xlfn.IFS(C937&lt;=2, "Infant", C937&lt;=11, "Child", C937&lt;=17, "Adolescent", C937&lt;=44, "Young Adult", C937&lt;=64, "Middle Aged", C937&lt;=84,"Young Old", C937&gt;=85,"Oldest Old")</f>
        <v>Middle Aged</v>
      </c>
      <c r="E937" t="s">
        <v>18</v>
      </c>
      <c r="F937" s="4">
        <v>45503</v>
      </c>
      <c r="G937" s="4">
        <v>45505</v>
      </c>
      <c r="H937" s="7">
        <f t="shared" si="42"/>
        <v>2</v>
      </c>
      <c r="I937" t="s">
        <v>23</v>
      </c>
      <c r="J937" t="s">
        <v>82</v>
      </c>
      <c r="K937" s="2">
        <v>3783.41</v>
      </c>
      <c r="L937" s="9">
        <v>0.7</v>
      </c>
      <c r="M937" s="15">
        <f t="shared" si="43"/>
        <v>2648.3869999999997</v>
      </c>
      <c r="N937" s="15">
        <f t="shared" si="44"/>
        <v>1135.0230000000001</v>
      </c>
      <c r="O937" t="s">
        <v>20</v>
      </c>
    </row>
    <row r="938" spans="1:15" hidden="1" x14ac:dyDescent="0.35">
      <c r="A938" t="s">
        <v>1649</v>
      </c>
      <c r="B938" t="s">
        <v>239</v>
      </c>
      <c r="C938">
        <v>31</v>
      </c>
      <c r="D938" s="8" t="str" cm="1">
        <f t="array" ref="D938">_xlfn.IFS(C938&lt;=2, "Infant", C938&lt;=11, "Child", C938&lt;=17, "Adolescent", C938&lt;=44, "Young Adult", C938&lt;=64, "Middle Aged", C938&lt;=84,"Young Old", C938&gt;=85,"Oldest Old")</f>
        <v>Young Adult</v>
      </c>
      <c r="E938" t="s">
        <v>12</v>
      </c>
      <c r="F938" s="4">
        <v>45681</v>
      </c>
      <c r="G938" s="4">
        <v>45684</v>
      </c>
      <c r="H938" s="7">
        <f t="shared" si="42"/>
        <v>3</v>
      </c>
      <c r="I938" t="s">
        <v>23</v>
      </c>
      <c r="J938" t="s">
        <v>204</v>
      </c>
      <c r="K938" s="2">
        <v>3007.82</v>
      </c>
      <c r="L938" s="9">
        <v>0.6</v>
      </c>
      <c r="M938" s="15">
        <f t="shared" si="43"/>
        <v>1804.692</v>
      </c>
      <c r="N938" s="15">
        <f t="shared" si="44"/>
        <v>1203.1280000000002</v>
      </c>
      <c r="O938" t="s">
        <v>20</v>
      </c>
    </row>
    <row r="939" spans="1:15" hidden="1" x14ac:dyDescent="0.35">
      <c r="A939" t="s">
        <v>1650</v>
      </c>
      <c r="B939" t="s">
        <v>1651</v>
      </c>
      <c r="C939">
        <v>12</v>
      </c>
      <c r="D939" s="8" t="str" cm="1">
        <f t="array" ref="D939">_xlfn.IFS(C939&lt;=2, "Infant", C939&lt;=11, "Child", C939&lt;=17, "Adolescent", C939&lt;=44, "Young Adult", C939&lt;=64, "Middle Aged", C939&lt;=84,"Young Old", C939&gt;=85,"Oldest Old")</f>
        <v>Adolescent</v>
      </c>
      <c r="E939" t="s">
        <v>12</v>
      </c>
      <c r="F939" s="4">
        <v>45733</v>
      </c>
      <c r="G939" s="4">
        <v>45738</v>
      </c>
      <c r="H939" s="7">
        <f t="shared" si="42"/>
        <v>5</v>
      </c>
      <c r="I939" t="s">
        <v>49</v>
      </c>
      <c r="J939" t="s">
        <v>378</v>
      </c>
      <c r="K939" s="2">
        <v>6547.21</v>
      </c>
      <c r="L939" s="9">
        <v>0.8</v>
      </c>
      <c r="M939" s="15">
        <f t="shared" si="43"/>
        <v>5237.768</v>
      </c>
      <c r="N939" s="15">
        <f t="shared" si="44"/>
        <v>1309.442</v>
      </c>
      <c r="O939" t="s">
        <v>25</v>
      </c>
    </row>
    <row r="940" spans="1:15" hidden="1" x14ac:dyDescent="0.35">
      <c r="A940" t="s">
        <v>1652</v>
      </c>
      <c r="B940" t="s">
        <v>1653</v>
      </c>
      <c r="C940">
        <v>79</v>
      </c>
      <c r="D940" s="8" t="str" cm="1">
        <f t="array" ref="D940">_xlfn.IFS(C940&lt;=2, "Infant", C940&lt;=11, "Child", C940&lt;=17, "Adolescent", C940&lt;=44, "Young Adult", C940&lt;=64, "Middle Aged", C940&lt;=84,"Young Old", C940&gt;=85,"Oldest Old")</f>
        <v>Young Old</v>
      </c>
      <c r="E940" t="s">
        <v>12</v>
      </c>
      <c r="F940" s="4">
        <v>45891</v>
      </c>
      <c r="G940" s="4">
        <v>45897</v>
      </c>
      <c r="H940" s="7">
        <f t="shared" si="42"/>
        <v>6</v>
      </c>
      <c r="I940" t="s">
        <v>70</v>
      </c>
      <c r="J940" t="s">
        <v>194</v>
      </c>
      <c r="K940" s="2">
        <v>6760.22</v>
      </c>
      <c r="L940" s="9">
        <v>0.9</v>
      </c>
      <c r="M940" s="15">
        <f t="shared" si="43"/>
        <v>6084.1980000000003</v>
      </c>
      <c r="N940" s="15">
        <f t="shared" si="44"/>
        <v>676.02199999999993</v>
      </c>
      <c r="O940" t="s">
        <v>15</v>
      </c>
    </row>
    <row r="941" spans="1:15" hidden="1" x14ac:dyDescent="0.35">
      <c r="A941" t="s">
        <v>1654</v>
      </c>
      <c r="B941" t="s">
        <v>1655</v>
      </c>
      <c r="C941">
        <v>48</v>
      </c>
      <c r="D941" s="8" t="str" cm="1">
        <f t="array" ref="D941">_xlfn.IFS(C941&lt;=2, "Infant", C941&lt;=11, "Child", C941&lt;=17, "Adolescent", C941&lt;=44, "Young Adult", C941&lt;=64, "Middle Aged", C941&lt;=84,"Young Old", C941&gt;=85,"Oldest Old")</f>
        <v>Middle Aged</v>
      </c>
      <c r="E941" t="s">
        <v>12</v>
      </c>
      <c r="F941" s="4">
        <v>45768</v>
      </c>
      <c r="G941" s="4">
        <v>45771</v>
      </c>
      <c r="H941" s="7">
        <f t="shared" si="42"/>
        <v>3</v>
      </c>
      <c r="I941" t="s">
        <v>31</v>
      </c>
      <c r="J941" t="s">
        <v>87</v>
      </c>
      <c r="K941" s="2">
        <v>3865.55</v>
      </c>
      <c r="L941" s="9">
        <v>0.8</v>
      </c>
      <c r="M941" s="15">
        <f t="shared" si="43"/>
        <v>3092.4400000000005</v>
      </c>
      <c r="N941" s="15">
        <f t="shared" si="44"/>
        <v>773.10999999999967</v>
      </c>
      <c r="O941" t="s">
        <v>15</v>
      </c>
    </row>
    <row r="942" spans="1:15" hidden="1" x14ac:dyDescent="0.35">
      <c r="A942" t="s">
        <v>1656</v>
      </c>
      <c r="B942" t="s">
        <v>789</v>
      </c>
      <c r="C942">
        <v>43</v>
      </c>
      <c r="D942" s="8" t="str" cm="1">
        <f t="array" ref="D942">_xlfn.IFS(C942&lt;=2, "Infant", C942&lt;=11, "Child", C942&lt;=17, "Adolescent", C942&lt;=44, "Young Adult", C942&lt;=64, "Middle Aged", C942&lt;=84,"Young Old", C942&gt;=85,"Oldest Old")</f>
        <v>Young Adult</v>
      </c>
      <c r="E942" t="s">
        <v>12</v>
      </c>
      <c r="F942" s="4">
        <v>45383</v>
      </c>
      <c r="G942" s="4">
        <v>45389</v>
      </c>
      <c r="H942" s="7">
        <f t="shared" si="42"/>
        <v>6</v>
      </c>
      <c r="I942" t="s">
        <v>31</v>
      </c>
      <c r="J942" t="s">
        <v>53</v>
      </c>
      <c r="K942" s="2">
        <v>5921.38</v>
      </c>
      <c r="L942" s="9">
        <v>0.7</v>
      </c>
      <c r="M942" s="15">
        <f t="shared" si="43"/>
        <v>4144.9659999999994</v>
      </c>
      <c r="N942" s="15">
        <f t="shared" si="44"/>
        <v>1776.4140000000007</v>
      </c>
      <c r="O942" t="s">
        <v>15</v>
      </c>
    </row>
    <row r="943" spans="1:15" hidden="1" x14ac:dyDescent="0.35">
      <c r="A943" t="s">
        <v>1657</v>
      </c>
      <c r="B943" t="s">
        <v>292</v>
      </c>
      <c r="C943">
        <v>34</v>
      </c>
      <c r="D943" s="8" t="str" cm="1">
        <f t="array" ref="D943">_xlfn.IFS(C943&lt;=2, "Infant", C943&lt;=11, "Child", C943&lt;=17, "Adolescent", C943&lt;=44, "Young Adult", C943&lt;=64, "Middle Aged", C943&lt;=84,"Young Old", C943&gt;=85,"Oldest Old")</f>
        <v>Young Adult</v>
      </c>
      <c r="E943" t="s">
        <v>12</v>
      </c>
      <c r="F943" s="4">
        <v>45607</v>
      </c>
      <c r="G943" s="4">
        <v>45616</v>
      </c>
      <c r="H943" s="7">
        <f t="shared" si="42"/>
        <v>9</v>
      </c>
      <c r="I943" t="s">
        <v>60</v>
      </c>
      <c r="J943" t="s">
        <v>97</v>
      </c>
      <c r="K943" s="2">
        <v>11299.89</v>
      </c>
      <c r="L943" s="9">
        <v>1</v>
      </c>
      <c r="M943" s="15">
        <f t="shared" si="43"/>
        <v>11299.89</v>
      </c>
      <c r="N943" s="15">
        <f t="shared" si="44"/>
        <v>0</v>
      </c>
      <c r="O943" t="s">
        <v>20</v>
      </c>
    </row>
    <row r="944" spans="1:15" hidden="1" x14ac:dyDescent="0.35">
      <c r="A944" t="s">
        <v>1658</v>
      </c>
      <c r="B944" t="s">
        <v>1659</v>
      </c>
      <c r="C944">
        <v>15</v>
      </c>
      <c r="D944" s="8" t="str" cm="1">
        <f t="array" ref="D944">_xlfn.IFS(C944&lt;=2, "Infant", C944&lt;=11, "Child", C944&lt;=17, "Adolescent", C944&lt;=44, "Young Adult", C944&lt;=64, "Middle Aged", C944&lt;=84,"Young Old", C944&gt;=85,"Oldest Old")</f>
        <v>Adolescent</v>
      </c>
      <c r="E944" t="s">
        <v>18</v>
      </c>
      <c r="F944" s="4">
        <v>45392</v>
      </c>
      <c r="G944" s="4">
        <v>45396</v>
      </c>
      <c r="H944" s="7">
        <f t="shared" si="42"/>
        <v>4</v>
      </c>
      <c r="I944" t="s">
        <v>49</v>
      </c>
      <c r="J944" t="s">
        <v>120</v>
      </c>
      <c r="K944" s="2">
        <v>4061.69</v>
      </c>
      <c r="L944" s="9">
        <v>0.6</v>
      </c>
      <c r="M944" s="15">
        <f t="shared" si="43"/>
        <v>2437.0140000000001</v>
      </c>
      <c r="N944" s="15">
        <f t="shared" si="44"/>
        <v>1624.6759999999999</v>
      </c>
      <c r="O944" t="s">
        <v>15</v>
      </c>
    </row>
    <row r="945" spans="1:15" hidden="1" x14ac:dyDescent="0.35">
      <c r="A945" t="s">
        <v>1660</v>
      </c>
      <c r="B945" t="s">
        <v>1661</v>
      </c>
      <c r="C945">
        <v>9</v>
      </c>
      <c r="D945" s="8" t="str" cm="1">
        <f t="array" ref="D945">_xlfn.IFS(C945&lt;=2, "Infant", C945&lt;=11, "Child", C945&lt;=17, "Adolescent", C945&lt;=44, "Young Adult", C945&lt;=64, "Middle Aged", C945&lt;=84,"Young Old", C945&gt;=85,"Oldest Old")</f>
        <v>Child</v>
      </c>
      <c r="E945" t="s">
        <v>18</v>
      </c>
      <c r="F945" s="4">
        <v>45519</v>
      </c>
      <c r="G945" s="4">
        <v>45520</v>
      </c>
      <c r="H945" s="7">
        <f t="shared" si="42"/>
        <v>1</v>
      </c>
      <c r="I945" t="s">
        <v>49</v>
      </c>
      <c r="J945" t="s">
        <v>120</v>
      </c>
      <c r="K945" s="2">
        <v>1243.02</v>
      </c>
      <c r="L945" s="9">
        <v>0.8</v>
      </c>
      <c r="M945" s="15">
        <f t="shared" si="43"/>
        <v>994.41600000000005</v>
      </c>
      <c r="N945" s="15">
        <f t="shared" si="44"/>
        <v>248.60399999999993</v>
      </c>
      <c r="O945" t="s">
        <v>15</v>
      </c>
    </row>
    <row r="946" spans="1:15" hidden="1" x14ac:dyDescent="0.35">
      <c r="A946" t="s">
        <v>1662</v>
      </c>
      <c r="B946" t="s">
        <v>1663</v>
      </c>
      <c r="C946">
        <v>70</v>
      </c>
      <c r="D946" s="8" t="str" cm="1">
        <f t="array" ref="D946">_xlfn.IFS(C946&lt;=2, "Infant", C946&lt;=11, "Child", C946&lt;=17, "Adolescent", C946&lt;=44, "Young Adult", C946&lt;=64, "Middle Aged", C946&lt;=84,"Young Old", C946&gt;=85,"Oldest Old")</f>
        <v>Young Old</v>
      </c>
      <c r="E946" t="s">
        <v>12</v>
      </c>
      <c r="F946" s="4">
        <v>45592</v>
      </c>
      <c r="G946" s="4">
        <v>45599</v>
      </c>
      <c r="H946" s="7">
        <f t="shared" si="42"/>
        <v>7</v>
      </c>
      <c r="I946" t="s">
        <v>60</v>
      </c>
      <c r="J946" t="s">
        <v>97</v>
      </c>
      <c r="K946" s="2">
        <v>18613.240000000002</v>
      </c>
      <c r="L946" s="9">
        <v>0.8</v>
      </c>
      <c r="M946" s="15">
        <f t="shared" si="43"/>
        <v>14890.592000000002</v>
      </c>
      <c r="N946" s="15">
        <f t="shared" si="44"/>
        <v>3722.6479999999992</v>
      </c>
      <c r="O946" t="s">
        <v>15</v>
      </c>
    </row>
    <row r="947" spans="1:15" hidden="1" x14ac:dyDescent="0.35">
      <c r="A947" t="s">
        <v>1664</v>
      </c>
      <c r="B947" t="s">
        <v>620</v>
      </c>
      <c r="C947">
        <v>31</v>
      </c>
      <c r="D947" s="8" t="str" cm="1">
        <f t="array" ref="D947">_xlfn.IFS(C947&lt;=2, "Infant", C947&lt;=11, "Child", C947&lt;=17, "Adolescent", C947&lt;=44, "Young Adult", C947&lt;=64, "Middle Aged", C947&lt;=84,"Young Old", C947&gt;=85,"Oldest Old")</f>
        <v>Young Adult</v>
      </c>
      <c r="E947" t="s">
        <v>18</v>
      </c>
      <c r="F947" s="4">
        <v>45526</v>
      </c>
      <c r="G947" s="4">
        <v>45529</v>
      </c>
      <c r="H947" s="7">
        <f t="shared" si="42"/>
        <v>3</v>
      </c>
      <c r="I947" t="s">
        <v>70</v>
      </c>
      <c r="J947" t="s">
        <v>71</v>
      </c>
      <c r="K947" s="2">
        <v>4541.45</v>
      </c>
      <c r="L947" s="9">
        <v>0.6</v>
      </c>
      <c r="M947" s="15">
        <f t="shared" si="43"/>
        <v>2724.87</v>
      </c>
      <c r="N947" s="15">
        <f t="shared" si="44"/>
        <v>1816.58</v>
      </c>
      <c r="O947" t="s">
        <v>15</v>
      </c>
    </row>
    <row r="948" spans="1:15" hidden="1" x14ac:dyDescent="0.35">
      <c r="A948" t="s">
        <v>1665</v>
      </c>
      <c r="B948" t="s">
        <v>1666</v>
      </c>
      <c r="C948">
        <v>65</v>
      </c>
      <c r="D948" s="8" t="str" cm="1">
        <f t="array" ref="D948">_xlfn.IFS(C948&lt;=2, "Infant", C948&lt;=11, "Child", C948&lt;=17, "Adolescent", C948&lt;=44, "Young Adult", C948&lt;=64, "Middle Aged", C948&lt;=84,"Young Old", C948&gt;=85,"Oldest Old")</f>
        <v>Young Old</v>
      </c>
      <c r="E948" t="s">
        <v>12</v>
      </c>
      <c r="F948" s="4">
        <v>45967</v>
      </c>
      <c r="G948" s="4">
        <v>45972</v>
      </c>
      <c r="H948" s="7">
        <f t="shared" si="42"/>
        <v>5</v>
      </c>
      <c r="I948" t="s">
        <v>13</v>
      </c>
      <c r="J948" t="s">
        <v>19</v>
      </c>
      <c r="K948" s="2">
        <v>14897.36</v>
      </c>
      <c r="L948" s="9">
        <v>1</v>
      </c>
      <c r="M948" s="15">
        <f t="shared" si="43"/>
        <v>14897.36</v>
      </c>
      <c r="N948" s="15">
        <f t="shared" si="44"/>
        <v>0</v>
      </c>
      <c r="O948" t="s">
        <v>15</v>
      </c>
    </row>
    <row r="949" spans="1:15" hidden="1" x14ac:dyDescent="0.35">
      <c r="A949" t="s">
        <v>1667</v>
      </c>
      <c r="B949" t="s">
        <v>34</v>
      </c>
      <c r="C949">
        <v>60</v>
      </c>
      <c r="D949" s="8" t="str" cm="1">
        <f t="array" ref="D949">_xlfn.IFS(C949&lt;=2, "Infant", C949&lt;=11, "Child", C949&lt;=17, "Adolescent", C949&lt;=44, "Young Adult", C949&lt;=64, "Middle Aged", C949&lt;=84,"Young Old", C949&gt;=85,"Oldest Old")</f>
        <v>Middle Aged</v>
      </c>
      <c r="E949" t="s">
        <v>12</v>
      </c>
      <c r="F949" s="4">
        <v>45761</v>
      </c>
      <c r="G949" s="4">
        <v>45766</v>
      </c>
      <c r="H949" s="7">
        <f t="shared" si="42"/>
        <v>5</v>
      </c>
      <c r="I949" t="s">
        <v>60</v>
      </c>
      <c r="J949" t="s">
        <v>97</v>
      </c>
      <c r="K949" s="2">
        <v>5557.59</v>
      </c>
      <c r="L949" s="9">
        <v>0.7</v>
      </c>
      <c r="M949" s="15">
        <f t="shared" si="43"/>
        <v>3890.3129999999996</v>
      </c>
      <c r="N949" s="15">
        <f t="shared" si="44"/>
        <v>1667.2770000000005</v>
      </c>
      <c r="O949" t="s">
        <v>25</v>
      </c>
    </row>
    <row r="950" spans="1:15" hidden="1" x14ac:dyDescent="0.35">
      <c r="A950" t="s">
        <v>1668</v>
      </c>
      <c r="B950" t="s">
        <v>1669</v>
      </c>
      <c r="C950">
        <v>59</v>
      </c>
      <c r="D950" s="8" t="str" cm="1">
        <f t="array" ref="D950">_xlfn.IFS(C950&lt;=2, "Infant", C950&lt;=11, "Child", C950&lt;=17, "Adolescent", C950&lt;=44, "Young Adult", C950&lt;=64, "Middle Aged", C950&lt;=84,"Young Old", C950&gt;=85,"Oldest Old")</f>
        <v>Middle Aged</v>
      </c>
      <c r="E950" t="s">
        <v>18</v>
      </c>
      <c r="F950" s="4">
        <v>45331</v>
      </c>
      <c r="G950" s="4">
        <v>45337</v>
      </c>
      <c r="H950" s="7">
        <f t="shared" si="42"/>
        <v>6</v>
      </c>
      <c r="I950" t="s">
        <v>13</v>
      </c>
      <c r="J950" t="s">
        <v>165</v>
      </c>
      <c r="K950" s="2">
        <v>14526.47</v>
      </c>
      <c r="L950" s="9">
        <v>0.9</v>
      </c>
      <c r="M950" s="15">
        <f t="shared" si="43"/>
        <v>13073.823</v>
      </c>
      <c r="N950" s="15">
        <f t="shared" si="44"/>
        <v>1452.646999999999</v>
      </c>
      <c r="O950" t="s">
        <v>15</v>
      </c>
    </row>
    <row r="951" spans="1:15" hidden="1" x14ac:dyDescent="0.35">
      <c r="A951" t="s">
        <v>1670</v>
      </c>
      <c r="B951" t="s">
        <v>984</v>
      </c>
      <c r="C951">
        <v>33</v>
      </c>
      <c r="D951" s="8" t="str" cm="1">
        <f t="array" ref="D951">_xlfn.IFS(C951&lt;=2, "Infant", C951&lt;=11, "Child", C951&lt;=17, "Adolescent", C951&lt;=44, "Young Adult", C951&lt;=64, "Middle Aged", C951&lt;=84,"Young Old", C951&gt;=85,"Oldest Old")</f>
        <v>Young Adult</v>
      </c>
      <c r="E951" t="s">
        <v>18</v>
      </c>
      <c r="F951" s="4">
        <v>45961</v>
      </c>
      <c r="G951" s="4">
        <v>45968</v>
      </c>
      <c r="H951" s="7">
        <f t="shared" si="42"/>
        <v>7</v>
      </c>
      <c r="I951" t="s">
        <v>31</v>
      </c>
      <c r="J951" t="s">
        <v>234</v>
      </c>
      <c r="K951" s="2">
        <v>6592.81</v>
      </c>
      <c r="L951" s="9">
        <v>0.8</v>
      </c>
      <c r="M951" s="15">
        <f t="shared" si="43"/>
        <v>5274.2480000000005</v>
      </c>
      <c r="N951" s="15">
        <f t="shared" si="44"/>
        <v>1318.5619999999999</v>
      </c>
      <c r="O951" t="s">
        <v>20</v>
      </c>
    </row>
    <row r="952" spans="1:15" hidden="1" x14ac:dyDescent="0.35">
      <c r="A952" t="s">
        <v>1671</v>
      </c>
      <c r="B952" t="s">
        <v>1672</v>
      </c>
      <c r="C952">
        <v>45</v>
      </c>
      <c r="D952" s="8" t="str" cm="1">
        <f t="array" ref="D952">_xlfn.IFS(C952&lt;=2, "Infant", C952&lt;=11, "Child", C952&lt;=17, "Adolescent", C952&lt;=44, "Young Adult", C952&lt;=64, "Middle Aged", C952&lt;=84,"Young Old", C952&gt;=85,"Oldest Old")</f>
        <v>Middle Aged</v>
      </c>
      <c r="E952" t="s">
        <v>18</v>
      </c>
      <c r="F952" s="4">
        <v>45598</v>
      </c>
      <c r="G952" s="4">
        <v>45602</v>
      </c>
      <c r="H952" s="7">
        <f t="shared" si="42"/>
        <v>4</v>
      </c>
      <c r="I952" t="s">
        <v>31</v>
      </c>
      <c r="J952" t="s">
        <v>114</v>
      </c>
      <c r="K952" s="2">
        <v>5811.71</v>
      </c>
      <c r="L952" s="9">
        <v>0.8</v>
      </c>
      <c r="M952" s="15">
        <f t="shared" si="43"/>
        <v>4649.3680000000004</v>
      </c>
      <c r="N952" s="15">
        <f t="shared" si="44"/>
        <v>1162.3419999999996</v>
      </c>
      <c r="O952" t="s">
        <v>15</v>
      </c>
    </row>
    <row r="953" spans="1:15" hidden="1" x14ac:dyDescent="0.35">
      <c r="A953" t="s">
        <v>1673</v>
      </c>
      <c r="B953" t="s">
        <v>1674</v>
      </c>
      <c r="C953">
        <v>72</v>
      </c>
      <c r="D953" s="8" t="str" cm="1">
        <f t="array" ref="D953">_xlfn.IFS(C953&lt;=2, "Infant", C953&lt;=11, "Child", C953&lt;=17, "Adolescent", C953&lt;=44, "Young Adult", C953&lt;=64, "Middle Aged", C953&lt;=84,"Young Old", C953&gt;=85,"Oldest Old")</f>
        <v>Young Old</v>
      </c>
      <c r="E953" t="s">
        <v>18</v>
      </c>
      <c r="F953" s="4">
        <v>45486</v>
      </c>
      <c r="G953" s="4">
        <v>45493</v>
      </c>
      <c r="H953" s="7">
        <f t="shared" si="42"/>
        <v>7</v>
      </c>
      <c r="I953" t="s">
        <v>60</v>
      </c>
      <c r="J953" t="s">
        <v>142</v>
      </c>
      <c r="K953" s="2">
        <v>15420.8</v>
      </c>
      <c r="L953" s="9">
        <v>0.6</v>
      </c>
      <c r="M953" s="15">
        <f t="shared" si="43"/>
        <v>9252.48</v>
      </c>
      <c r="N953" s="15">
        <f t="shared" si="44"/>
        <v>6168.32</v>
      </c>
      <c r="O953" t="s">
        <v>25</v>
      </c>
    </row>
    <row r="954" spans="1:15" hidden="1" x14ac:dyDescent="0.35">
      <c r="A954" t="s">
        <v>1675</v>
      </c>
      <c r="B954" t="s">
        <v>944</v>
      </c>
      <c r="C954">
        <v>31</v>
      </c>
      <c r="D954" s="8" t="str" cm="1">
        <f t="array" ref="D954">_xlfn.IFS(C954&lt;=2, "Infant", C954&lt;=11, "Child", C954&lt;=17, "Adolescent", C954&lt;=44, "Young Adult", C954&lt;=64, "Middle Aged", C954&lt;=84,"Young Old", C954&gt;=85,"Oldest Old")</f>
        <v>Young Adult</v>
      </c>
      <c r="E954" t="s">
        <v>18</v>
      </c>
      <c r="F954" s="4">
        <v>45327</v>
      </c>
      <c r="G954" s="4">
        <v>45338</v>
      </c>
      <c r="H954" s="7">
        <f t="shared" si="42"/>
        <v>11</v>
      </c>
      <c r="I954" t="s">
        <v>60</v>
      </c>
      <c r="J954" t="s">
        <v>74</v>
      </c>
      <c r="K954" s="2">
        <v>28706.36</v>
      </c>
      <c r="L954" s="9">
        <v>0.8</v>
      </c>
      <c r="M954" s="15">
        <f t="shared" si="43"/>
        <v>22965.088000000003</v>
      </c>
      <c r="N954" s="15">
        <f t="shared" si="44"/>
        <v>5741.2719999999972</v>
      </c>
      <c r="O954" t="s">
        <v>15</v>
      </c>
    </row>
    <row r="955" spans="1:15" hidden="1" x14ac:dyDescent="0.35">
      <c r="A955" t="s">
        <v>1676</v>
      </c>
      <c r="B955" t="s">
        <v>1677</v>
      </c>
      <c r="C955">
        <v>78</v>
      </c>
      <c r="D955" s="8" t="str" cm="1">
        <f t="array" ref="D955">_xlfn.IFS(C955&lt;=2, "Infant", C955&lt;=11, "Child", C955&lt;=17, "Adolescent", C955&lt;=44, "Young Adult", C955&lt;=64, "Middle Aged", C955&lt;=84,"Young Old", C955&gt;=85,"Oldest Old")</f>
        <v>Young Old</v>
      </c>
      <c r="E955" t="s">
        <v>18</v>
      </c>
      <c r="F955" s="4">
        <v>45462</v>
      </c>
      <c r="G955" s="4">
        <v>45468</v>
      </c>
      <c r="H955" s="7">
        <f t="shared" si="42"/>
        <v>6</v>
      </c>
      <c r="I955" t="s">
        <v>13</v>
      </c>
      <c r="J955" t="s">
        <v>14</v>
      </c>
      <c r="K955" s="2">
        <v>10923.17</v>
      </c>
      <c r="L955" s="9">
        <v>0.9</v>
      </c>
      <c r="M955" s="15">
        <f t="shared" si="43"/>
        <v>9830.853000000001</v>
      </c>
      <c r="N955" s="15">
        <f t="shared" si="44"/>
        <v>1092.3169999999991</v>
      </c>
      <c r="O955" t="s">
        <v>20</v>
      </c>
    </row>
    <row r="956" spans="1:15" hidden="1" x14ac:dyDescent="0.35">
      <c r="A956" t="s">
        <v>1678</v>
      </c>
      <c r="B956" t="s">
        <v>302</v>
      </c>
      <c r="C956">
        <v>52</v>
      </c>
      <c r="D956" s="8" t="str" cm="1">
        <f t="array" ref="D956">_xlfn.IFS(C956&lt;=2, "Infant", C956&lt;=11, "Child", C956&lt;=17, "Adolescent", C956&lt;=44, "Young Adult", C956&lt;=64, "Middle Aged", C956&lt;=84,"Young Old", C956&gt;=85,"Oldest Old")</f>
        <v>Middle Aged</v>
      </c>
      <c r="E956" t="s">
        <v>18</v>
      </c>
      <c r="F956" s="4">
        <v>45696</v>
      </c>
      <c r="G956" s="4">
        <v>45705</v>
      </c>
      <c r="H956" s="7">
        <f t="shared" si="42"/>
        <v>9</v>
      </c>
      <c r="I956" t="s">
        <v>70</v>
      </c>
      <c r="J956" t="s">
        <v>157</v>
      </c>
      <c r="K956" s="2">
        <v>20558.88</v>
      </c>
      <c r="L956" s="9">
        <v>0.9</v>
      </c>
      <c r="M956" s="15">
        <f t="shared" si="43"/>
        <v>18502.992000000002</v>
      </c>
      <c r="N956" s="15">
        <f t="shared" si="44"/>
        <v>2055.887999999999</v>
      </c>
      <c r="O956" t="s">
        <v>15</v>
      </c>
    </row>
    <row r="957" spans="1:15" hidden="1" x14ac:dyDescent="0.35">
      <c r="A957" t="s">
        <v>1679</v>
      </c>
      <c r="B957" t="s">
        <v>177</v>
      </c>
      <c r="C957">
        <v>41</v>
      </c>
      <c r="D957" s="8" t="str" cm="1">
        <f t="array" ref="D957">_xlfn.IFS(C957&lt;=2, "Infant", C957&lt;=11, "Child", C957&lt;=17, "Adolescent", C957&lt;=44, "Young Adult", C957&lt;=64, "Middle Aged", C957&lt;=84,"Young Old", C957&gt;=85,"Oldest Old")</f>
        <v>Young Adult</v>
      </c>
      <c r="E957" t="s">
        <v>12</v>
      </c>
      <c r="F957" s="4">
        <v>45988</v>
      </c>
      <c r="G957" s="4">
        <v>45989</v>
      </c>
      <c r="H957" s="7">
        <f t="shared" si="42"/>
        <v>1</v>
      </c>
      <c r="I957" t="s">
        <v>31</v>
      </c>
      <c r="J957" t="s">
        <v>35</v>
      </c>
      <c r="K957" s="2">
        <v>759.83</v>
      </c>
      <c r="L957" s="9">
        <v>0.7</v>
      </c>
      <c r="M957" s="15">
        <f t="shared" si="43"/>
        <v>531.88099999999997</v>
      </c>
      <c r="N957" s="15">
        <f t="shared" si="44"/>
        <v>227.94900000000007</v>
      </c>
      <c r="O957" t="s">
        <v>15</v>
      </c>
    </row>
    <row r="958" spans="1:15" hidden="1" x14ac:dyDescent="0.35">
      <c r="A958" t="s">
        <v>1680</v>
      </c>
      <c r="B958" t="s">
        <v>1639</v>
      </c>
      <c r="C958">
        <v>32</v>
      </c>
      <c r="D958" s="8" t="str" cm="1">
        <f t="array" ref="D958">_xlfn.IFS(C958&lt;=2, "Infant", C958&lt;=11, "Child", C958&lt;=17, "Adolescent", C958&lt;=44, "Young Adult", C958&lt;=64, "Middle Aged", C958&lt;=84,"Young Old", C958&gt;=85,"Oldest Old")</f>
        <v>Young Adult</v>
      </c>
      <c r="E958" t="s">
        <v>18</v>
      </c>
      <c r="F958" s="4">
        <v>45697</v>
      </c>
      <c r="G958" s="4">
        <v>45699</v>
      </c>
      <c r="H958" s="7">
        <f t="shared" si="42"/>
        <v>2</v>
      </c>
      <c r="I958" t="s">
        <v>23</v>
      </c>
      <c r="J958" t="s">
        <v>82</v>
      </c>
      <c r="K958" s="2">
        <v>2012.29</v>
      </c>
      <c r="L958" s="9">
        <v>0.7</v>
      </c>
      <c r="M958" s="15">
        <f t="shared" si="43"/>
        <v>1408.6029999999998</v>
      </c>
      <c r="N958" s="15">
        <f t="shared" si="44"/>
        <v>603.68700000000013</v>
      </c>
      <c r="O958" t="s">
        <v>15</v>
      </c>
    </row>
    <row r="959" spans="1:15" hidden="1" x14ac:dyDescent="0.35">
      <c r="A959" t="s">
        <v>1681</v>
      </c>
      <c r="B959" t="s">
        <v>1682</v>
      </c>
      <c r="C959">
        <v>39</v>
      </c>
      <c r="D959" s="8" t="str" cm="1">
        <f t="array" ref="D959">_xlfn.IFS(C959&lt;=2, "Infant", C959&lt;=11, "Child", C959&lt;=17, "Adolescent", C959&lt;=44, "Young Adult", C959&lt;=64, "Middle Aged", C959&lt;=84,"Young Old", C959&gt;=85,"Oldest Old")</f>
        <v>Young Adult</v>
      </c>
      <c r="E959" t="s">
        <v>12</v>
      </c>
      <c r="F959" s="4">
        <v>45450</v>
      </c>
      <c r="G959" s="4">
        <v>45456</v>
      </c>
      <c r="H959" s="7">
        <f t="shared" si="42"/>
        <v>6</v>
      </c>
      <c r="I959" t="s">
        <v>60</v>
      </c>
      <c r="J959" t="s">
        <v>61</v>
      </c>
      <c r="K959" s="2">
        <v>16229.56</v>
      </c>
      <c r="L959" s="9">
        <v>0.9</v>
      </c>
      <c r="M959" s="15">
        <f t="shared" si="43"/>
        <v>14606.603999999999</v>
      </c>
      <c r="N959" s="15">
        <f t="shared" si="44"/>
        <v>1622.9560000000001</v>
      </c>
      <c r="O959" t="s">
        <v>15</v>
      </c>
    </row>
    <row r="960" spans="1:15" hidden="1" x14ac:dyDescent="0.35">
      <c r="A960" t="s">
        <v>1683</v>
      </c>
      <c r="B960" t="s">
        <v>367</v>
      </c>
      <c r="C960">
        <v>52</v>
      </c>
      <c r="D960" s="8" t="str" cm="1">
        <f t="array" ref="D960">_xlfn.IFS(C960&lt;=2, "Infant", C960&lt;=11, "Child", C960&lt;=17, "Adolescent", C960&lt;=44, "Young Adult", C960&lt;=64, "Middle Aged", C960&lt;=84,"Young Old", C960&gt;=85,"Oldest Old")</f>
        <v>Middle Aged</v>
      </c>
      <c r="E960" t="s">
        <v>12</v>
      </c>
      <c r="F960" s="4">
        <v>45304</v>
      </c>
      <c r="G960" s="4">
        <v>45310</v>
      </c>
      <c r="H960" s="7">
        <f t="shared" si="42"/>
        <v>6</v>
      </c>
      <c r="I960" t="s">
        <v>31</v>
      </c>
      <c r="J960" t="s">
        <v>35</v>
      </c>
      <c r="K960" s="2">
        <v>8478.0300000000007</v>
      </c>
      <c r="L960" s="9">
        <v>0.7</v>
      </c>
      <c r="M960" s="15">
        <f t="shared" si="43"/>
        <v>5934.6210000000001</v>
      </c>
      <c r="N960" s="15">
        <f t="shared" si="44"/>
        <v>2543.4090000000006</v>
      </c>
      <c r="O960" t="s">
        <v>25</v>
      </c>
    </row>
    <row r="961" spans="1:15" hidden="1" x14ac:dyDescent="0.35">
      <c r="A961" t="s">
        <v>1684</v>
      </c>
      <c r="B961" t="s">
        <v>1685</v>
      </c>
      <c r="C961">
        <v>58</v>
      </c>
      <c r="D961" s="8" t="str" cm="1">
        <f t="array" ref="D961">_xlfn.IFS(C961&lt;=2, "Infant", C961&lt;=11, "Child", C961&lt;=17, "Adolescent", C961&lt;=44, "Young Adult", C961&lt;=64, "Middle Aged", C961&lt;=84,"Young Old", C961&gt;=85,"Oldest Old")</f>
        <v>Middle Aged</v>
      </c>
      <c r="E961" t="s">
        <v>18</v>
      </c>
      <c r="F961" s="4">
        <v>45470</v>
      </c>
      <c r="G961" s="4">
        <v>45480</v>
      </c>
      <c r="H961" s="7">
        <f t="shared" si="42"/>
        <v>10</v>
      </c>
      <c r="I961" t="s">
        <v>70</v>
      </c>
      <c r="J961" t="s">
        <v>157</v>
      </c>
      <c r="K961" s="2">
        <v>23264.42</v>
      </c>
      <c r="L961" s="9">
        <v>0.6</v>
      </c>
      <c r="M961" s="15">
        <f t="shared" si="43"/>
        <v>13958.651999999998</v>
      </c>
      <c r="N961" s="15">
        <f t="shared" si="44"/>
        <v>9305.768</v>
      </c>
      <c r="O961" t="s">
        <v>15</v>
      </c>
    </row>
    <row r="962" spans="1:15" hidden="1" x14ac:dyDescent="0.35">
      <c r="A962" t="s">
        <v>1686</v>
      </c>
      <c r="B962" t="s">
        <v>175</v>
      </c>
      <c r="C962">
        <v>82</v>
      </c>
      <c r="D962" s="8" t="str" cm="1">
        <f t="array" ref="D962">_xlfn.IFS(C962&lt;=2, "Infant", C962&lt;=11, "Child", C962&lt;=17, "Adolescent", C962&lt;=44, "Young Adult", C962&lt;=64, "Middle Aged", C962&lt;=84,"Young Old", C962&gt;=85,"Oldest Old")</f>
        <v>Young Old</v>
      </c>
      <c r="E962" t="s">
        <v>18</v>
      </c>
      <c r="F962" s="4">
        <v>45654</v>
      </c>
      <c r="G962" s="4">
        <v>45658</v>
      </c>
      <c r="H962" s="7">
        <f t="shared" si="42"/>
        <v>4</v>
      </c>
      <c r="I962" t="s">
        <v>31</v>
      </c>
      <c r="J962" t="s">
        <v>53</v>
      </c>
      <c r="K962" s="2">
        <v>4983.18</v>
      </c>
      <c r="L962" s="9">
        <v>0.8</v>
      </c>
      <c r="M962" s="15">
        <f t="shared" si="43"/>
        <v>3986.5440000000003</v>
      </c>
      <c r="N962" s="15">
        <f t="shared" si="44"/>
        <v>996.63599999999997</v>
      </c>
      <c r="O962" t="s">
        <v>25</v>
      </c>
    </row>
    <row r="963" spans="1:15" hidden="1" x14ac:dyDescent="0.35">
      <c r="A963" t="s">
        <v>1687</v>
      </c>
      <c r="B963" t="s">
        <v>1688</v>
      </c>
      <c r="C963">
        <v>47</v>
      </c>
      <c r="D963" s="8" t="str" cm="1">
        <f t="array" ref="D963">_xlfn.IFS(C963&lt;=2, "Infant", C963&lt;=11, "Child", C963&lt;=17, "Adolescent", C963&lt;=44, "Young Adult", C963&lt;=64, "Middle Aged", C963&lt;=84,"Young Old", C963&gt;=85,"Oldest Old")</f>
        <v>Middle Aged</v>
      </c>
      <c r="E963" t="s">
        <v>18</v>
      </c>
      <c r="F963" s="4">
        <v>45735</v>
      </c>
      <c r="G963" s="4">
        <v>45741</v>
      </c>
      <c r="H963" s="7">
        <f t="shared" ref="H963:H1001" si="45">DATEDIF(F963,G963,"D")</f>
        <v>6</v>
      </c>
      <c r="I963" t="s">
        <v>31</v>
      </c>
      <c r="J963" t="s">
        <v>53</v>
      </c>
      <c r="K963" s="2">
        <v>7613.41</v>
      </c>
      <c r="L963" s="9">
        <v>0.9</v>
      </c>
      <c r="M963" s="15">
        <f t="shared" ref="M963:M1001" si="46">L963*K963</f>
        <v>6852.0690000000004</v>
      </c>
      <c r="N963" s="15">
        <f t="shared" ref="N963:N1001" si="47">K963-M963</f>
        <v>761.34099999999944</v>
      </c>
      <c r="O963" t="s">
        <v>15</v>
      </c>
    </row>
    <row r="964" spans="1:15" hidden="1" x14ac:dyDescent="0.35">
      <c r="A964" t="s">
        <v>1689</v>
      </c>
      <c r="B964" t="s">
        <v>987</v>
      </c>
      <c r="C964">
        <v>37</v>
      </c>
      <c r="D964" s="8" t="str" cm="1">
        <f t="array" ref="D964">_xlfn.IFS(C964&lt;=2, "Infant", C964&lt;=11, "Child", C964&lt;=17, "Adolescent", C964&lt;=44, "Young Adult", C964&lt;=64, "Middle Aged", C964&lt;=84,"Young Old", C964&gt;=85,"Oldest Old")</f>
        <v>Young Adult</v>
      </c>
      <c r="E964" t="s">
        <v>12</v>
      </c>
      <c r="F964" s="4">
        <v>45387</v>
      </c>
      <c r="G964" s="4">
        <v>45388</v>
      </c>
      <c r="H964" s="7">
        <f t="shared" si="45"/>
        <v>1</v>
      </c>
      <c r="I964" t="s">
        <v>23</v>
      </c>
      <c r="J964" t="s">
        <v>221</v>
      </c>
      <c r="K964" s="2">
        <v>2431.81</v>
      </c>
      <c r="L964" s="9">
        <v>0.8</v>
      </c>
      <c r="M964" s="15">
        <f t="shared" si="46"/>
        <v>1945.4480000000001</v>
      </c>
      <c r="N964" s="15">
        <f t="shared" si="47"/>
        <v>486.36199999999985</v>
      </c>
      <c r="O964" t="s">
        <v>15</v>
      </c>
    </row>
    <row r="965" spans="1:15" hidden="1" x14ac:dyDescent="0.35">
      <c r="A965" t="s">
        <v>1690</v>
      </c>
      <c r="B965" t="s">
        <v>1691</v>
      </c>
      <c r="C965">
        <v>61</v>
      </c>
      <c r="D965" s="8" t="str" cm="1">
        <f t="array" ref="D965">_xlfn.IFS(C965&lt;=2, "Infant", C965&lt;=11, "Child", C965&lt;=17, "Adolescent", C965&lt;=44, "Young Adult", C965&lt;=64, "Middle Aged", C965&lt;=84,"Young Old", C965&gt;=85,"Oldest Old")</f>
        <v>Middle Aged</v>
      </c>
      <c r="E965" t="s">
        <v>18</v>
      </c>
      <c r="F965" s="4">
        <v>45478</v>
      </c>
      <c r="G965" s="4">
        <v>45480</v>
      </c>
      <c r="H965" s="7">
        <f t="shared" si="45"/>
        <v>2</v>
      </c>
      <c r="I965" t="s">
        <v>31</v>
      </c>
      <c r="J965" t="s">
        <v>234</v>
      </c>
      <c r="K965" s="2">
        <v>1073.8900000000001</v>
      </c>
      <c r="L965" s="9">
        <v>0.7</v>
      </c>
      <c r="M965" s="15">
        <f t="shared" si="46"/>
        <v>751.72300000000007</v>
      </c>
      <c r="N965" s="15">
        <f t="shared" si="47"/>
        <v>322.16700000000003</v>
      </c>
      <c r="O965" t="s">
        <v>20</v>
      </c>
    </row>
    <row r="966" spans="1:15" hidden="1" x14ac:dyDescent="0.35">
      <c r="A966" t="s">
        <v>1692</v>
      </c>
      <c r="B966" t="s">
        <v>1693</v>
      </c>
      <c r="C966">
        <v>70</v>
      </c>
      <c r="D966" s="8" t="str" cm="1">
        <f t="array" ref="D966">_xlfn.IFS(C966&lt;=2, "Infant", C966&lt;=11, "Child", C966&lt;=17, "Adolescent", C966&lt;=44, "Young Adult", C966&lt;=64, "Middle Aged", C966&lt;=84,"Young Old", C966&gt;=85,"Oldest Old")</f>
        <v>Young Old</v>
      </c>
      <c r="E966" t="s">
        <v>18</v>
      </c>
      <c r="F966" s="4">
        <v>45738</v>
      </c>
      <c r="G966" s="4">
        <v>45748</v>
      </c>
      <c r="H966" s="7">
        <f t="shared" si="45"/>
        <v>10</v>
      </c>
      <c r="I966" t="s">
        <v>13</v>
      </c>
      <c r="J966" t="s">
        <v>102</v>
      </c>
      <c r="K966" s="2">
        <v>19302.61</v>
      </c>
      <c r="L966" s="9">
        <v>1</v>
      </c>
      <c r="M966" s="15">
        <f t="shared" si="46"/>
        <v>19302.61</v>
      </c>
      <c r="N966" s="15">
        <f t="shared" si="47"/>
        <v>0</v>
      </c>
      <c r="O966" t="s">
        <v>25</v>
      </c>
    </row>
    <row r="967" spans="1:15" hidden="1" x14ac:dyDescent="0.35">
      <c r="A967" t="s">
        <v>1694</v>
      </c>
      <c r="B967" t="s">
        <v>1538</v>
      </c>
      <c r="C967">
        <v>68</v>
      </c>
      <c r="D967" s="8" t="str" cm="1">
        <f t="array" ref="D967">_xlfn.IFS(C967&lt;=2, "Infant", C967&lt;=11, "Child", C967&lt;=17, "Adolescent", C967&lt;=44, "Young Adult", C967&lt;=64, "Middle Aged", C967&lt;=84,"Young Old", C967&gt;=85,"Oldest Old")</f>
        <v>Young Old</v>
      </c>
      <c r="E967" t="s">
        <v>18</v>
      </c>
      <c r="F967" s="4">
        <v>45791</v>
      </c>
      <c r="G967" s="4">
        <v>45797</v>
      </c>
      <c r="H967" s="7">
        <f t="shared" si="45"/>
        <v>6</v>
      </c>
      <c r="I967" t="s">
        <v>31</v>
      </c>
      <c r="J967" t="s">
        <v>114</v>
      </c>
      <c r="K967" s="2">
        <v>4686.18</v>
      </c>
      <c r="L967" s="9">
        <v>1</v>
      </c>
      <c r="M967" s="15">
        <f t="shared" si="46"/>
        <v>4686.18</v>
      </c>
      <c r="N967" s="15">
        <f t="shared" si="47"/>
        <v>0</v>
      </c>
      <c r="O967" t="s">
        <v>15</v>
      </c>
    </row>
    <row r="968" spans="1:15" hidden="1" x14ac:dyDescent="0.35">
      <c r="A968" t="s">
        <v>1695</v>
      </c>
      <c r="B968" t="s">
        <v>1696</v>
      </c>
      <c r="C968">
        <v>7</v>
      </c>
      <c r="D968" s="8" t="str" cm="1">
        <f t="array" ref="D968">_xlfn.IFS(C968&lt;=2, "Infant", C968&lt;=11, "Child", C968&lt;=17, "Adolescent", C968&lt;=44, "Young Adult", C968&lt;=64, "Middle Aged", C968&lt;=84,"Young Old", C968&gt;=85,"Oldest Old")</f>
        <v>Child</v>
      </c>
      <c r="E968" t="s">
        <v>18</v>
      </c>
      <c r="F968" s="4">
        <v>45923</v>
      </c>
      <c r="G968" s="4">
        <v>45926</v>
      </c>
      <c r="H968" s="7">
        <f t="shared" si="45"/>
        <v>3</v>
      </c>
      <c r="I968" t="s">
        <v>49</v>
      </c>
      <c r="J968" t="s">
        <v>378</v>
      </c>
      <c r="K968" s="2">
        <v>3301.8</v>
      </c>
      <c r="L968" s="9">
        <v>0.7</v>
      </c>
      <c r="M968" s="15">
        <f t="shared" si="46"/>
        <v>2311.2599999999998</v>
      </c>
      <c r="N968" s="15">
        <f t="shared" si="47"/>
        <v>990.54000000000042</v>
      </c>
      <c r="O968" t="s">
        <v>25</v>
      </c>
    </row>
    <row r="969" spans="1:15" hidden="1" x14ac:dyDescent="0.35">
      <c r="A969" t="s">
        <v>1697</v>
      </c>
      <c r="B969" t="s">
        <v>392</v>
      </c>
      <c r="C969">
        <v>57</v>
      </c>
      <c r="D969" s="8" t="str" cm="1">
        <f t="array" ref="D969">_xlfn.IFS(C969&lt;=2, "Infant", C969&lt;=11, "Child", C969&lt;=17, "Adolescent", C969&lt;=44, "Young Adult", C969&lt;=64, "Middle Aged", C969&lt;=84,"Young Old", C969&gt;=85,"Oldest Old")</f>
        <v>Middle Aged</v>
      </c>
      <c r="E969" t="s">
        <v>18</v>
      </c>
      <c r="F969" s="4">
        <v>45596</v>
      </c>
      <c r="G969" s="4">
        <v>45599</v>
      </c>
      <c r="H969" s="7">
        <f t="shared" si="45"/>
        <v>3</v>
      </c>
      <c r="I969" t="s">
        <v>60</v>
      </c>
      <c r="J969" t="s">
        <v>61</v>
      </c>
      <c r="K969" s="2">
        <v>5980.45</v>
      </c>
      <c r="L969" s="9">
        <v>1</v>
      </c>
      <c r="M969" s="15">
        <f t="shared" si="46"/>
        <v>5980.45</v>
      </c>
      <c r="N969" s="15">
        <f t="shared" si="47"/>
        <v>0</v>
      </c>
      <c r="O969" t="s">
        <v>15</v>
      </c>
    </row>
    <row r="970" spans="1:15" hidden="1" x14ac:dyDescent="0.35">
      <c r="A970" t="s">
        <v>1698</v>
      </c>
      <c r="B970" t="s">
        <v>1699</v>
      </c>
      <c r="C970">
        <v>34</v>
      </c>
      <c r="D970" s="8" t="str" cm="1">
        <f t="array" ref="D970">_xlfn.IFS(C970&lt;=2, "Infant", C970&lt;=11, "Child", C970&lt;=17, "Adolescent", C970&lt;=44, "Young Adult", C970&lt;=64, "Middle Aged", C970&lt;=84,"Young Old", C970&gt;=85,"Oldest Old")</f>
        <v>Young Adult</v>
      </c>
      <c r="E970" t="s">
        <v>18</v>
      </c>
      <c r="F970" s="4">
        <v>45932</v>
      </c>
      <c r="G970" s="4">
        <v>45936</v>
      </c>
      <c r="H970" s="7">
        <f t="shared" si="45"/>
        <v>4</v>
      </c>
      <c r="I970" t="s">
        <v>31</v>
      </c>
      <c r="J970" t="s">
        <v>53</v>
      </c>
      <c r="K970" s="2">
        <v>5054.45</v>
      </c>
      <c r="L970" s="9">
        <v>0.6</v>
      </c>
      <c r="M970" s="15">
        <f t="shared" si="46"/>
        <v>3032.6699999999996</v>
      </c>
      <c r="N970" s="15">
        <f t="shared" si="47"/>
        <v>2021.7800000000002</v>
      </c>
      <c r="O970" t="s">
        <v>20</v>
      </c>
    </row>
    <row r="971" spans="1:15" hidden="1" x14ac:dyDescent="0.35">
      <c r="A971" t="s">
        <v>1700</v>
      </c>
      <c r="B971" t="s">
        <v>1701</v>
      </c>
      <c r="C971">
        <v>52</v>
      </c>
      <c r="D971" s="8" t="str" cm="1">
        <f t="array" ref="D971">_xlfn.IFS(C971&lt;=2, "Infant", C971&lt;=11, "Child", C971&lt;=17, "Adolescent", C971&lt;=44, "Young Adult", C971&lt;=64, "Middle Aged", C971&lt;=84,"Young Old", C971&gt;=85,"Oldest Old")</f>
        <v>Middle Aged</v>
      </c>
      <c r="E971" t="s">
        <v>12</v>
      </c>
      <c r="F971" s="4">
        <v>45876</v>
      </c>
      <c r="G971" s="4">
        <v>45878</v>
      </c>
      <c r="H971" s="7">
        <f t="shared" si="45"/>
        <v>2</v>
      </c>
      <c r="I971" t="s">
        <v>23</v>
      </c>
      <c r="J971" t="s">
        <v>204</v>
      </c>
      <c r="K971" s="2">
        <v>3102.51</v>
      </c>
      <c r="L971" s="9">
        <v>0.9</v>
      </c>
      <c r="M971" s="15">
        <f t="shared" si="46"/>
        <v>2792.2590000000005</v>
      </c>
      <c r="N971" s="15">
        <f t="shared" si="47"/>
        <v>310.25099999999975</v>
      </c>
      <c r="O971" t="s">
        <v>15</v>
      </c>
    </row>
    <row r="972" spans="1:15" hidden="1" x14ac:dyDescent="0.35">
      <c r="A972" t="s">
        <v>1702</v>
      </c>
      <c r="B972" t="s">
        <v>496</v>
      </c>
      <c r="C972">
        <v>66</v>
      </c>
      <c r="D972" s="8" t="str" cm="1">
        <f t="array" ref="D972">_xlfn.IFS(C972&lt;=2, "Infant", C972&lt;=11, "Child", C972&lt;=17, "Adolescent", C972&lt;=44, "Young Adult", C972&lt;=64, "Middle Aged", C972&lt;=84,"Young Old", C972&gt;=85,"Oldest Old")</f>
        <v>Young Old</v>
      </c>
      <c r="E972" t="s">
        <v>12</v>
      </c>
      <c r="F972" s="4">
        <v>45669</v>
      </c>
      <c r="G972" s="4">
        <v>45676</v>
      </c>
      <c r="H972" s="7">
        <f t="shared" si="45"/>
        <v>7</v>
      </c>
      <c r="I972" t="s">
        <v>60</v>
      </c>
      <c r="J972" t="s">
        <v>97</v>
      </c>
      <c r="K972" s="2">
        <v>7068.71</v>
      </c>
      <c r="L972" s="9">
        <v>0.7</v>
      </c>
      <c r="M972" s="15">
        <f t="shared" si="46"/>
        <v>4948.0969999999998</v>
      </c>
      <c r="N972" s="15">
        <f t="shared" si="47"/>
        <v>2120.6130000000003</v>
      </c>
      <c r="O972" t="s">
        <v>25</v>
      </c>
    </row>
    <row r="973" spans="1:15" hidden="1" x14ac:dyDescent="0.35">
      <c r="A973" t="s">
        <v>1703</v>
      </c>
      <c r="B973" t="s">
        <v>1704</v>
      </c>
      <c r="C973">
        <v>59</v>
      </c>
      <c r="D973" s="8" t="str" cm="1">
        <f t="array" ref="D973">_xlfn.IFS(C973&lt;=2, "Infant", C973&lt;=11, "Child", C973&lt;=17, "Adolescent", C973&lt;=44, "Young Adult", C973&lt;=64, "Middle Aged", C973&lt;=84,"Young Old", C973&gt;=85,"Oldest Old")</f>
        <v>Middle Aged</v>
      </c>
      <c r="E973" t="s">
        <v>12</v>
      </c>
      <c r="F973" s="4">
        <v>45376</v>
      </c>
      <c r="G973" s="4">
        <v>45380</v>
      </c>
      <c r="H973" s="7">
        <f t="shared" si="45"/>
        <v>4</v>
      </c>
      <c r="I973" t="s">
        <v>60</v>
      </c>
      <c r="J973" t="s">
        <v>74</v>
      </c>
      <c r="K973" s="2">
        <v>7018.51</v>
      </c>
      <c r="L973" s="9">
        <v>0.8</v>
      </c>
      <c r="M973" s="15">
        <f t="shared" si="46"/>
        <v>5614.8080000000009</v>
      </c>
      <c r="N973" s="15">
        <f t="shared" si="47"/>
        <v>1403.7019999999993</v>
      </c>
      <c r="O973" t="s">
        <v>15</v>
      </c>
    </row>
    <row r="974" spans="1:15" hidden="1" x14ac:dyDescent="0.35">
      <c r="A974" t="s">
        <v>1705</v>
      </c>
      <c r="B974" t="s">
        <v>1706</v>
      </c>
      <c r="C974">
        <v>17</v>
      </c>
      <c r="D974" s="8" t="str" cm="1">
        <f t="array" ref="D974">_xlfn.IFS(C974&lt;=2, "Infant", C974&lt;=11, "Child", C974&lt;=17, "Adolescent", C974&lt;=44, "Young Adult", C974&lt;=64, "Middle Aged", C974&lt;=84,"Young Old", C974&gt;=85,"Oldest Old")</f>
        <v>Adolescent</v>
      </c>
      <c r="E974" t="s">
        <v>18</v>
      </c>
      <c r="F974" s="4">
        <v>45625</v>
      </c>
      <c r="G974" s="4">
        <v>45626</v>
      </c>
      <c r="H974" s="7">
        <f t="shared" si="45"/>
        <v>1</v>
      </c>
      <c r="I974" t="s">
        <v>49</v>
      </c>
      <c r="J974" t="s">
        <v>120</v>
      </c>
      <c r="K974" s="2">
        <v>895.4</v>
      </c>
      <c r="L974" s="9">
        <v>0.7</v>
      </c>
      <c r="M974" s="15">
        <f t="shared" si="46"/>
        <v>626.78</v>
      </c>
      <c r="N974" s="15">
        <f t="shared" si="47"/>
        <v>268.62</v>
      </c>
      <c r="O974" t="s">
        <v>20</v>
      </c>
    </row>
    <row r="975" spans="1:15" hidden="1" x14ac:dyDescent="0.35">
      <c r="A975" t="s">
        <v>1707</v>
      </c>
      <c r="B975" t="s">
        <v>1530</v>
      </c>
      <c r="C975">
        <v>25</v>
      </c>
      <c r="D975" s="8" t="str" cm="1">
        <f t="array" ref="D975">_xlfn.IFS(C975&lt;=2, "Infant", C975&lt;=11, "Child", C975&lt;=17, "Adolescent", C975&lt;=44, "Young Adult", C975&lt;=64, "Middle Aged", C975&lt;=84,"Young Old", C975&gt;=85,"Oldest Old")</f>
        <v>Young Adult</v>
      </c>
      <c r="E975" t="s">
        <v>18</v>
      </c>
      <c r="F975" s="4">
        <v>45853</v>
      </c>
      <c r="G975" s="4">
        <v>45858</v>
      </c>
      <c r="H975" s="7">
        <f t="shared" si="45"/>
        <v>5</v>
      </c>
      <c r="I975" t="s">
        <v>31</v>
      </c>
      <c r="J975" t="s">
        <v>44</v>
      </c>
      <c r="K975" s="2">
        <v>5857.12</v>
      </c>
      <c r="L975" s="9">
        <v>0.7</v>
      </c>
      <c r="M975" s="15">
        <f t="shared" si="46"/>
        <v>4099.9839999999995</v>
      </c>
      <c r="N975" s="15">
        <f t="shared" si="47"/>
        <v>1757.1360000000004</v>
      </c>
      <c r="O975" t="s">
        <v>15</v>
      </c>
    </row>
    <row r="976" spans="1:15" hidden="1" x14ac:dyDescent="0.35">
      <c r="A976" t="s">
        <v>1708</v>
      </c>
      <c r="B976" t="s">
        <v>478</v>
      </c>
      <c r="C976">
        <v>22</v>
      </c>
      <c r="D976" s="8" t="str" cm="1">
        <f t="array" ref="D976">_xlfn.IFS(C976&lt;=2, "Infant", C976&lt;=11, "Child", C976&lt;=17, "Adolescent", C976&lt;=44, "Young Adult", C976&lt;=64, "Middle Aged", C976&lt;=84,"Young Old", C976&gt;=85,"Oldest Old")</f>
        <v>Young Adult</v>
      </c>
      <c r="E976" t="s">
        <v>18</v>
      </c>
      <c r="F976" s="4">
        <v>45923</v>
      </c>
      <c r="G976" s="4">
        <v>45926</v>
      </c>
      <c r="H976" s="7">
        <f t="shared" si="45"/>
        <v>3</v>
      </c>
      <c r="I976" t="s">
        <v>23</v>
      </c>
      <c r="J976" t="s">
        <v>82</v>
      </c>
      <c r="K976" s="2">
        <v>5212.57</v>
      </c>
      <c r="L976" s="9">
        <v>0.9</v>
      </c>
      <c r="M976" s="15">
        <f t="shared" si="46"/>
        <v>4691.3130000000001</v>
      </c>
      <c r="N976" s="15">
        <f t="shared" si="47"/>
        <v>521.25699999999961</v>
      </c>
      <c r="O976" t="s">
        <v>15</v>
      </c>
    </row>
    <row r="977" spans="1:15" hidden="1" x14ac:dyDescent="0.35">
      <c r="A977" t="s">
        <v>1709</v>
      </c>
      <c r="B977" t="s">
        <v>280</v>
      </c>
      <c r="C977">
        <v>73</v>
      </c>
      <c r="D977" s="8" t="str" cm="1">
        <f t="array" ref="D977">_xlfn.IFS(C977&lt;=2, "Infant", C977&lt;=11, "Child", C977&lt;=17, "Adolescent", C977&lt;=44, "Young Adult", C977&lt;=64, "Middle Aged", C977&lt;=84,"Young Old", C977&gt;=85,"Oldest Old")</f>
        <v>Young Old</v>
      </c>
      <c r="E977" t="s">
        <v>12</v>
      </c>
      <c r="F977" s="4">
        <v>45654</v>
      </c>
      <c r="G977" s="4">
        <v>45661</v>
      </c>
      <c r="H977" s="7">
        <f t="shared" si="45"/>
        <v>7</v>
      </c>
      <c r="I977" t="s">
        <v>13</v>
      </c>
      <c r="J977" t="s">
        <v>165</v>
      </c>
      <c r="K977" s="2">
        <v>18256.04</v>
      </c>
      <c r="L977" s="9">
        <v>0.7</v>
      </c>
      <c r="M977" s="15">
        <f t="shared" si="46"/>
        <v>12779.227999999999</v>
      </c>
      <c r="N977" s="15">
        <f t="shared" si="47"/>
        <v>5476.8120000000017</v>
      </c>
      <c r="O977" t="s">
        <v>20</v>
      </c>
    </row>
    <row r="978" spans="1:15" hidden="1" x14ac:dyDescent="0.35">
      <c r="A978" t="s">
        <v>1710</v>
      </c>
      <c r="B978" t="s">
        <v>1711</v>
      </c>
      <c r="C978">
        <v>40</v>
      </c>
      <c r="D978" s="8" t="str" cm="1">
        <f t="array" ref="D978">_xlfn.IFS(C978&lt;=2, "Infant", C978&lt;=11, "Child", C978&lt;=17, "Adolescent", C978&lt;=44, "Young Adult", C978&lt;=64, "Middle Aged", C978&lt;=84,"Young Old", C978&gt;=85,"Oldest Old")</f>
        <v>Young Adult</v>
      </c>
      <c r="E978" t="s">
        <v>18</v>
      </c>
      <c r="F978" s="4">
        <v>45751</v>
      </c>
      <c r="G978" s="4">
        <v>45761</v>
      </c>
      <c r="H978" s="7">
        <f t="shared" si="45"/>
        <v>10</v>
      </c>
      <c r="I978" t="s">
        <v>13</v>
      </c>
      <c r="J978" t="s">
        <v>14</v>
      </c>
      <c r="K978" s="2">
        <v>22950.92</v>
      </c>
      <c r="L978" s="9">
        <v>0.8</v>
      </c>
      <c r="M978" s="15">
        <f t="shared" si="46"/>
        <v>18360.736000000001</v>
      </c>
      <c r="N978" s="15">
        <f t="shared" si="47"/>
        <v>4590.1839999999975</v>
      </c>
      <c r="O978" t="s">
        <v>15</v>
      </c>
    </row>
    <row r="979" spans="1:15" hidden="1" x14ac:dyDescent="0.35">
      <c r="A979" t="s">
        <v>1712</v>
      </c>
      <c r="B979" t="s">
        <v>189</v>
      </c>
      <c r="C979">
        <v>65</v>
      </c>
      <c r="D979" s="8" t="str" cm="1">
        <f t="array" ref="D979">_xlfn.IFS(C979&lt;=2, "Infant", C979&lt;=11, "Child", C979&lt;=17, "Adolescent", C979&lt;=44, "Young Adult", C979&lt;=64, "Middle Aged", C979&lt;=84,"Young Old", C979&gt;=85,"Oldest Old")</f>
        <v>Young Old</v>
      </c>
      <c r="E979" t="s">
        <v>12</v>
      </c>
      <c r="F979" s="4">
        <v>45649</v>
      </c>
      <c r="G979" s="4">
        <v>45656</v>
      </c>
      <c r="H979" s="7">
        <f t="shared" si="45"/>
        <v>7</v>
      </c>
      <c r="I979" t="s">
        <v>31</v>
      </c>
      <c r="J979" t="s">
        <v>114</v>
      </c>
      <c r="K979" s="2">
        <v>9174.23</v>
      </c>
      <c r="L979" s="9">
        <v>0.6</v>
      </c>
      <c r="M979" s="15">
        <f t="shared" si="46"/>
        <v>5504.5379999999996</v>
      </c>
      <c r="N979" s="15">
        <f t="shared" si="47"/>
        <v>3669.692</v>
      </c>
      <c r="O979" t="s">
        <v>25</v>
      </c>
    </row>
    <row r="980" spans="1:15" hidden="1" x14ac:dyDescent="0.35">
      <c r="A980" t="s">
        <v>1713</v>
      </c>
      <c r="B980" t="s">
        <v>129</v>
      </c>
      <c r="C980">
        <v>18</v>
      </c>
      <c r="D980" s="8" t="str" cm="1">
        <f t="array" ref="D980">_xlfn.IFS(C980&lt;=2, "Infant", C980&lt;=11, "Child", C980&lt;=17, "Adolescent", C980&lt;=44, "Young Adult", C980&lt;=64, "Middle Aged", C980&lt;=84,"Young Old", C980&gt;=85,"Oldest Old")</f>
        <v>Young Adult</v>
      </c>
      <c r="E980" t="s">
        <v>18</v>
      </c>
      <c r="F980" s="4">
        <v>45900</v>
      </c>
      <c r="G980" s="4">
        <v>45903</v>
      </c>
      <c r="H980" s="7">
        <f t="shared" si="45"/>
        <v>3</v>
      </c>
      <c r="I980" t="s">
        <v>31</v>
      </c>
      <c r="J980" t="s">
        <v>234</v>
      </c>
      <c r="K980" s="2">
        <v>2502.7600000000002</v>
      </c>
      <c r="L980" s="9">
        <v>0.8</v>
      </c>
      <c r="M980" s="15">
        <f t="shared" si="46"/>
        <v>2002.2080000000003</v>
      </c>
      <c r="N980" s="15">
        <f t="shared" si="47"/>
        <v>500.55199999999991</v>
      </c>
      <c r="O980" t="s">
        <v>15</v>
      </c>
    </row>
    <row r="981" spans="1:15" hidden="1" x14ac:dyDescent="0.35">
      <c r="A981" t="s">
        <v>1714</v>
      </c>
      <c r="B981" t="s">
        <v>406</v>
      </c>
      <c r="C981">
        <v>43</v>
      </c>
      <c r="D981" s="8" t="str" cm="1">
        <f t="array" ref="D981">_xlfn.IFS(C981&lt;=2, "Infant", C981&lt;=11, "Child", C981&lt;=17, "Adolescent", C981&lt;=44, "Young Adult", C981&lt;=64, "Middle Aged", C981&lt;=84,"Young Old", C981&gt;=85,"Oldest Old")</f>
        <v>Young Adult</v>
      </c>
      <c r="E981" t="s">
        <v>12</v>
      </c>
      <c r="F981" s="4">
        <v>45929</v>
      </c>
      <c r="G981" s="4">
        <v>45932</v>
      </c>
      <c r="H981" s="7">
        <f t="shared" si="45"/>
        <v>3</v>
      </c>
      <c r="I981" t="s">
        <v>23</v>
      </c>
      <c r="J981" t="s">
        <v>204</v>
      </c>
      <c r="K981" s="2">
        <v>6927.74</v>
      </c>
      <c r="L981" s="9">
        <v>0.9</v>
      </c>
      <c r="M981" s="15">
        <f t="shared" si="46"/>
        <v>6234.9660000000003</v>
      </c>
      <c r="N981" s="15">
        <f t="shared" si="47"/>
        <v>692.77399999999943</v>
      </c>
      <c r="O981" t="s">
        <v>15</v>
      </c>
    </row>
    <row r="982" spans="1:15" hidden="1" x14ac:dyDescent="0.35">
      <c r="A982" t="s">
        <v>1715</v>
      </c>
      <c r="B982" t="s">
        <v>693</v>
      </c>
      <c r="C982">
        <v>54</v>
      </c>
      <c r="D982" s="8" t="str" cm="1">
        <f t="array" ref="D982">_xlfn.IFS(C982&lt;=2, "Infant", C982&lt;=11, "Child", C982&lt;=17, "Adolescent", C982&lt;=44, "Young Adult", C982&lt;=64, "Middle Aged", C982&lt;=84,"Young Old", C982&gt;=85,"Oldest Old")</f>
        <v>Middle Aged</v>
      </c>
      <c r="E982" t="s">
        <v>18</v>
      </c>
      <c r="F982" s="4">
        <v>45539</v>
      </c>
      <c r="G982" s="4">
        <v>45544</v>
      </c>
      <c r="H982" s="7">
        <f t="shared" si="45"/>
        <v>5</v>
      </c>
      <c r="I982" t="s">
        <v>31</v>
      </c>
      <c r="J982" t="s">
        <v>44</v>
      </c>
      <c r="K982" s="2">
        <v>4663.1899999999996</v>
      </c>
      <c r="L982" s="9">
        <v>0.8</v>
      </c>
      <c r="M982" s="15">
        <f t="shared" si="46"/>
        <v>3730.5519999999997</v>
      </c>
      <c r="N982" s="15">
        <f t="shared" si="47"/>
        <v>932.63799999999992</v>
      </c>
      <c r="O982" t="s">
        <v>15</v>
      </c>
    </row>
    <row r="983" spans="1:15" hidden="1" x14ac:dyDescent="0.35">
      <c r="A983" t="s">
        <v>1716</v>
      </c>
      <c r="B983" t="s">
        <v>1717</v>
      </c>
      <c r="C983">
        <v>55</v>
      </c>
      <c r="D983" s="8" t="str" cm="1">
        <f t="array" ref="D983">_xlfn.IFS(C983&lt;=2, "Infant", C983&lt;=11, "Child", C983&lt;=17, "Adolescent", C983&lt;=44, "Young Adult", C983&lt;=64, "Middle Aged", C983&lt;=84,"Young Old", C983&gt;=85,"Oldest Old")</f>
        <v>Middle Aged</v>
      </c>
      <c r="E983" t="s">
        <v>18</v>
      </c>
      <c r="F983" s="4">
        <v>45596</v>
      </c>
      <c r="G983" s="4">
        <v>45604</v>
      </c>
      <c r="H983" s="7">
        <f t="shared" si="45"/>
        <v>8</v>
      </c>
      <c r="I983" t="s">
        <v>60</v>
      </c>
      <c r="J983" t="s">
        <v>61</v>
      </c>
      <c r="K983" s="2">
        <v>20435.29</v>
      </c>
      <c r="L983" s="9">
        <v>0.7</v>
      </c>
      <c r="M983" s="15">
        <f t="shared" si="46"/>
        <v>14304.703</v>
      </c>
      <c r="N983" s="15">
        <f t="shared" si="47"/>
        <v>6130.5870000000014</v>
      </c>
      <c r="O983" t="s">
        <v>25</v>
      </c>
    </row>
    <row r="984" spans="1:15" hidden="1" x14ac:dyDescent="0.35">
      <c r="A984" t="s">
        <v>1718</v>
      </c>
      <c r="B984" t="s">
        <v>386</v>
      </c>
      <c r="C984">
        <v>81</v>
      </c>
      <c r="D984" s="8" t="str" cm="1">
        <f t="array" ref="D984">_xlfn.IFS(C984&lt;=2, "Infant", C984&lt;=11, "Child", C984&lt;=17, "Adolescent", C984&lt;=44, "Young Adult", C984&lt;=64, "Middle Aged", C984&lt;=84,"Young Old", C984&gt;=85,"Oldest Old")</f>
        <v>Young Old</v>
      </c>
      <c r="E984" t="s">
        <v>18</v>
      </c>
      <c r="F984" s="4">
        <v>46009</v>
      </c>
      <c r="G984" s="4">
        <v>46011</v>
      </c>
      <c r="H984" s="7">
        <f t="shared" si="45"/>
        <v>2</v>
      </c>
      <c r="I984" t="s">
        <v>31</v>
      </c>
      <c r="J984" t="s">
        <v>44</v>
      </c>
      <c r="K984" s="2">
        <v>1278.31</v>
      </c>
      <c r="L984" s="9">
        <v>0.6</v>
      </c>
      <c r="M984" s="15">
        <f t="shared" si="46"/>
        <v>766.98599999999999</v>
      </c>
      <c r="N984" s="15">
        <f t="shared" si="47"/>
        <v>511.32399999999996</v>
      </c>
      <c r="O984" t="s">
        <v>20</v>
      </c>
    </row>
    <row r="985" spans="1:15" hidden="1" x14ac:dyDescent="0.35">
      <c r="A985" t="s">
        <v>1719</v>
      </c>
      <c r="B985" t="s">
        <v>1059</v>
      </c>
      <c r="C985">
        <v>44</v>
      </c>
      <c r="D985" s="8" t="str" cm="1">
        <f t="array" ref="D985">_xlfn.IFS(C985&lt;=2, "Infant", C985&lt;=11, "Child", C985&lt;=17, "Adolescent", C985&lt;=44, "Young Adult", C985&lt;=64, "Middle Aged", C985&lt;=84,"Young Old", C985&gt;=85,"Oldest Old")</f>
        <v>Young Adult</v>
      </c>
      <c r="E985" t="s">
        <v>12</v>
      </c>
      <c r="F985" s="4">
        <v>45675</v>
      </c>
      <c r="G985" s="4">
        <v>45678</v>
      </c>
      <c r="H985" s="7">
        <f t="shared" si="45"/>
        <v>3</v>
      </c>
      <c r="I985" t="s">
        <v>23</v>
      </c>
      <c r="J985" t="s">
        <v>221</v>
      </c>
      <c r="K985" s="2">
        <v>6875.52</v>
      </c>
      <c r="L985" s="9">
        <v>0.7</v>
      </c>
      <c r="M985" s="15">
        <f t="shared" si="46"/>
        <v>4812.8639999999996</v>
      </c>
      <c r="N985" s="15">
        <f t="shared" si="47"/>
        <v>2062.6560000000009</v>
      </c>
      <c r="O985" t="s">
        <v>15</v>
      </c>
    </row>
    <row r="986" spans="1:15" hidden="1" x14ac:dyDescent="0.35">
      <c r="A986" t="s">
        <v>1720</v>
      </c>
      <c r="B986" t="s">
        <v>1418</v>
      </c>
      <c r="C986">
        <v>57</v>
      </c>
      <c r="D986" s="8" t="str" cm="1">
        <f t="array" ref="D986">_xlfn.IFS(C986&lt;=2, "Infant", C986&lt;=11, "Child", C986&lt;=17, "Adolescent", C986&lt;=44, "Young Adult", C986&lt;=64, "Middle Aged", C986&lt;=84,"Young Old", C986&gt;=85,"Oldest Old")</f>
        <v>Middle Aged</v>
      </c>
      <c r="E986" t="s">
        <v>18</v>
      </c>
      <c r="F986" s="4">
        <v>45515</v>
      </c>
      <c r="G986" s="4">
        <v>45521</v>
      </c>
      <c r="H986" s="7">
        <f t="shared" si="45"/>
        <v>6</v>
      </c>
      <c r="I986" t="s">
        <v>70</v>
      </c>
      <c r="J986" t="s">
        <v>157</v>
      </c>
      <c r="K986" s="2">
        <v>14894.02</v>
      </c>
      <c r="L986" s="9">
        <v>0.6</v>
      </c>
      <c r="M986" s="15">
        <f>L986*K986</f>
        <v>8936.4120000000003</v>
      </c>
      <c r="N986" s="15">
        <f t="shared" si="47"/>
        <v>5957.6080000000002</v>
      </c>
      <c r="O986" t="s">
        <v>15</v>
      </c>
    </row>
    <row r="987" spans="1:15" hidden="1" x14ac:dyDescent="0.35">
      <c r="A987" t="s">
        <v>1721</v>
      </c>
      <c r="B987" t="s">
        <v>1163</v>
      </c>
      <c r="C987">
        <v>55</v>
      </c>
      <c r="D987" s="8" t="str" cm="1">
        <f t="array" ref="D987">_xlfn.IFS(C987&lt;=2, "Infant", C987&lt;=11, "Child", C987&lt;=17, "Adolescent", C987&lt;=44, "Young Adult", C987&lt;=64, "Middle Aged", C987&lt;=84,"Young Old", C987&gt;=85,"Oldest Old")</f>
        <v>Middle Aged</v>
      </c>
      <c r="E987" t="s">
        <v>18</v>
      </c>
      <c r="F987" s="4">
        <v>45817</v>
      </c>
      <c r="G987" s="4">
        <v>45825</v>
      </c>
      <c r="H987" s="7">
        <f t="shared" si="45"/>
        <v>8</v>
      </c>
      <c r="I987" t="s">
        <v>60</v>
      </c>
      <c r="J987" t="s">
        <v>142</v>
      </c>
      <c r="K987" s="2">
        <v>16185.6</v>
      </c>
      <c r="L987" s="9">
        <v>1</v>
      </c>
      <c r="M987" s="15">
        <f t="shared" si="46"/>
        <v>16185.6</v>
      </c>
      <c r="N987" s="15">
        <f t="shared" si="47"/>
        <v>0</v>
      </c>
      <c r="O987" t="s">
        <v>15</v>
      </c>
    </row>
    <row r="988" spans="1:15" hidden="1" x14ac:dyDescent="0.35">
      <c r="A988" t="s">
        <v>1722</v>
      </c>
      <c r="B988" t="s">
        <v>1355</v>
      </c>
      <c r="C988">
        <v>64</v>
      </c>
      <c r="D988" s="8" t="str" cm="1">
        <f t="array" ref="D988">_xlfn.IFS(C988&lt;=2, "Infant", C988&lt;=11, "Child", C988&lt;=17, "Adolescent", C988&lt;=44, "Young Adult", C988&lt;=64, "Middle Aged", C988&lt;=84,"Young Old", C988&gt;=85,"Oldest Old")</f>
        <v>Middle Aged</v>
      </c>
      <c r="E988" t="s">
        <v>18</v>
      </c>
      <c r="F988" s="4">
        <v>45540</v>
      </c>
      <c r="G988" s="4">
        <v>45544</v>
      </c>
      <c r="H988" s="7">
        <f t="shared" si="45"/>
        <v>4</v>
      </c>
      <c r="I988" t="s">
        <v>31</v>
      </c>
      <c r="J988" t="s">
        <v>35</v>
      </c>
      <c r="K988" s="2">
        <v>4017.98</v>
      </c>
      <c r="L988" s="9">
        <v>1</v>
      </c>
      <c r="M988" s="15">
        <f t="shared" si="46"/>
        <v>4017.98</v>
      </c>
      <c r="N988" s="15">
        <f t="shared" si="47"/>
        <v>0</v>
      </c>
      <c r="O988" t="s">
        <v>15</v>
      </c>
    </row>
    <row r="989" spans="1:15" hidden="1" x14ac:dyDescent="0.35">
      <c r="A989" t="s">
        <v>1723</v>
      </c>
      <c r="B989" t="s">
        <v>1724</v>
      </c>
      <c r="C989">
        <v>1</v>
      </c>
      <c r="D989" s="8" t="str" cm="1">
        <f t="array" ref="D989">_xlfn.IFS(C989&lt;=2, "Infant", C989&lt;=11, "Child", C989&lt;=17, "Adolescent", C989&lt;=44, "Young Adult", C989&lt;=64, "Middle Aged", C989&lt;=84,"Young Old", C989&gt;=85,"Oldest Old")</f>
        <v>Infant</v>
      </c>
      <c r="E989" t="s">
        <v>18</v>
      </c>
      <c r="F989" s="4">
        <v>45893</v>
      </c>
      <c r="G989" s="4">
        <v>45895</v>
      </c>
      <c r="H989" s="7">
        <f t="shared" si="45"/>
        <v>2</v>
      </c>
      <c r="I989" t="s">
        <v>49</v>
      </c>
      <c r="J989" t="s">
        <v>123</v>
      </c>
      <c r="K989" s="2">
        <v>1260.77</v>
      </c>
      <c r="L989" s="9">
        <v>0.8</v>
      </c>
      <c r="M989" s="15">
        <f t="shared" si="46"/>
        <v>1008.616</v>
      </c>
      <c r="N989" s="15">
        <f t="shared" si="47"/>
        <v>252.154</v>
      </c>
      <c r="O989" t="s">
        <v>20</v>
      </c>
    </row>
    <row r="990" spans="1:15" hidden="1" x14ac:dyDescent="0.35">
      <c r="A990" t="s">
        <v>1725</v>
      </c>
      <c r="B990" t="s">
        <v>1726</v>
      </c>
      <c r="C990">
        <v>14</v>
      </c>
      <c r="D990" s="8" t="str" cm="1">
        <f t="array" ref="D990">_xlfn.IFS(C990&lt;=2, "Infant", C990&lt;=11, "Child", C990&lt;=17, "Adolescent", C990&lt;=44, "Young Adult", C990&lt;=64, "Middle Aged", C990&lt;=84,"Young Old", C990&gt;=85,"Oldest Old")</f>
        <v>Adolescent</v>
      </c>
      <c r="E990" t="s">
        <v>18</v>
      </c>
      <c r="F990" s="4">
        <v>45923</v>
      </c>
      <c r="G990" s="4">
        <v>45925</v>
      </c>
      <c r="H990" s="7">
        <f t="shared" si="45"/>
        <v>2</v>
      </c>
      <c r="I990" t="s">
        <v>49</v>
      </c>
      <c r="J990" t="s">
        <v>378</v>
      </c>
      <c r="K990" s="2">
        <v>2626.23</v>
      </c>
      <c r="L990" s="9">
        <v>0.6</v>
      </c>
      <c r="M990" s="15">
        <f t="shared" si="46"/>
        <v>1575.7380000000001</v>
      </c>
      <c r="N990" s="15">
        <f t="shared" si="47"/>
        <v>1050.492</v>
      </c>
      <c r="O990" t="s">
        <v>20</v>
      </c>
    </row>
    <row r="991" spans="1:15" hidden="1" x14ac:dyDescent="0.35">
      <c r="A991" t="s">
        <v>1727</v>
      </c>
      <c r="B991" t="s">
        <v>1728</v>
      </c>
      <c r="C991">
        <v>14</v>
      </c>
      <c r="D991" s="8" t="str" cm="1">
        <f t="array" ref="D991">_xlfn.IFS(C991&lt;=2, "Infant", C991&lt;=11, "Child", C991&lt;=17, "Adolescent", C991&lt;=44, "Young Adult", C991&lt;=64, "Middle Aged", C991&lt;=84,"Young Old", C991&gt;=85,"Oldest Old")</f>
        <v>Adolescent</v>
      </c>
      <c r="E991" t="s">
        <v>12</v>
      </c>
      <c r="F991" s="4">
        <v>45484</v>
      </c>
      <c r="G991" s="4">
        <v>45485</v>
      </c>
      <c r="H991" s="7">
        <f t="shared" si="45"/>
        <v>1</v>
      </c>
      <c r="I991" t="s">
        <v>49</v>
      </c>
      <c r="J991" t="s">
        <v>117</v>
      </c>
      <c r="K991" s="2">
        <v>713.28</v>
      </c>
      <c r="L991" s="9">
        <v>0</v>
      </c>
      <c r="M991" s="15">
        <f t="shared" si="46"/>
        <v>0</v>
      </c>
      <c r="N991" s="15">
        <f t="shared" si="47"/>
        <v>713.28</v>
      </c>
      <c r="O991" t="s">
        <v>25</v>
      </c>
    </row>
    <row r="992" spans="1:15" hidden="1" x14ac:dyDescent="0.35">
      <c r="A992" t="s">
        <v>1729</v>
      </c>
      <c r="B992" t="s">
        <v>510</v>
      </c>
      <c r="C992">
        <v>64</v>
      </c>
      <c r="D992" s="8" t="str" cm="1">
        <f t="array" ref="D992">_xlfn.IFS(C992&lt;=2, "Infant", C992&lt;=11, "Child", C992&lt;=17, "Adolescent", C992&lt;=44, "Young Adult", C992&lt;=64, "Middle Aged", C992&lt;=84,"Young Old", C992&gt;=85,"Oldest Old")</f>
        <v>Middle Aged</v>
      </c>
      <c r="E992" t="s">
        <v>18</v>
      </c>
      <c r="F992" s="4">
        <v>45592</v>
      </c>
      <c r="G992" s="4">
        <v>45596</v>
      </c>
      <c r="H992" s="7">
        <f t="shared" si="45"/>
        <v>4</v>
      </c>
      <c r="I992" t="s">
        <v>31</v>
      </c>
      <c r="J992" t="s">
        <v>53</v>
      </c>
      <c r="K992" s="2">
        <v>5579.15</v>
      </c>
      <c r="L992" s="9">
        <v>0.6</v>
      </c>
      <c r="M992" s="15">
        <f t="shared" si="46"/>
        <v>3347.49</v>
      </c>
      <c r="N992" s="15">
        <f t="shared" si="47"/>
        <v>2231.66</v>
      </c>
      <c r="O992" t="s">
        <v>20</v>
      </c>
    </row>
    <row r="993" spans="1:15" hidden="1" x14ac:dyDescent="0.35">
      <c r="A993" t="s">
        <v>1730</v>
      </c>
      <c r="B993" t="s">
        <v>1731</v>
      </c>
      <c r="C993">
        <v>2</v>
      </c>
      <c r="D993" s="8" t="str" cm="1">
        <f t="array" ref="D993">_xlfn.IFS(C993&lt;=2, "Infant", C993&lt;=11, "Child", C993&lt;=17, "Adolescent", C993&lt;=44, "Young Adult", C993&lt;=64, "Middle Aged", C993&lt;=84,"Young Old", C993&gt;=85,"Oldest Old")</f>
        <v>Infant</v>
      </c>
      <c r="E993" t="s">
        <v>18</v>
      </c>
      <c r="F993" s="4">
        <v>45992</v>
      </c>
      <c r="G993" s="4">
        <v>45995</v>
      </c>
      <c r="H993" s="7">
        <f t="shared" si="45"/>
        <v>3</v>
      </c>
      <c r="I993" t="s">
        <v>49</v>
      </c>
      <c r="J993" t="s">
        <v>130</v>
      </c>
      <c r="K993" s="2">
        <v>3033.99</v>
      </c>
      <c r="L993" s="9">
        <v>0.8</v>
      </c>
      <c r="M993" s="15">
        <f t="shared" si="46"/>
        <v>2427.192</v>
      </c>
      <c r="N993" s="15">
        <f t="shared" si="47"/>
        <v>606.79799999999977</v>
      </c>
      <c r="O993" t="s">
        <v>15</v>
      </c>
    </row>
    <row r="994" spans="1:15" hidden="1" x14ac:dyDescent="0.35">
      <c r="A994" t="s">
        <v>1732</v>
      </c>
      <c r="B994" t="s">
        <v>482</v>
      </c>
      <c r="C994">
        <v>43</v>
      </c>
      <c r="D994" s="8" t="str" cm="1">
        <f t="array" ref="D994">_xlfn.IFS(C994&lt;=2, "Infant", C994&lt;=11, "Child", C994&lt;=17, "Adolescent", C994&lt;=44, "Young Adult", C994&lt;=64, "Middle Aged", C994&lt;=84,"Young Old", C994&gt;=85,"Oldest Old")</f>
        <v>Young Adult</v>
      </c>
      <c r="E994" t="s">
        <v>12</v>
      </c>
      <c r="F994" s="4">
        <v>45981</v>
      </c>
      <c r="G994" s="4">
        <v>45983</v>
      </c>
      <c r="H994" s="7">
        <f t="shared" si="45"/>
        <v>2</v>
      </c>
      <c r="I994" t="s">
        <v>23</v>
      </c>
      <c r="J994" t="s">
        <v>24</v>
      </c>
      <c r="K994" s="2">
        <v>4133.9399999999996</v>
      </c>
      <c r="L994" s="9">
        <v>0.5</v>
      </c>
      <c r="M994" s="15">
        <f t="shared" si="46"/>
        <v>2066.9699999999998</v>
      </c>
      <c r="N994" s="15">
        <f t="shared" si="47"/>
        <v>2066.9699999999998</v>
      </c>
      <c r="O994" t="s">
        <v>15</v>
      </c>
    </row>
    <row r="995" spans="1:15" hidden="1" x14ac:dyDescent="0.35">
      <c r="A995" t="s">
        <v>1733</v>
      </c>
      <c r="B995" t="s">
        <v>1734</v>
      </c>
      <c r="C995">
        <v>10</v>
      </c>
      <c r="D995" s="8" t="str" cm="1">
        <f t="array" ref="D995">_xlfn.IFS(C995&lt;=2, "Infant", C995&lt;=11, "Child", C995&lt;=17, "Adolescent", C995&lt;=44, "Young Adult", C995&lt;=64, "Middle Aged", C995&lt;=84,"Young Old", C995&gt;=85,"Oldest Old")</f>
        <v>Child</v>
      </c>
      <c r="E995" t="s">
        <v>12</v>
      </c>
      <c r="F995" s="4">
        <v>45841</v>
      </c>
      <c r="G995" s="4">
        <v>45845</v>
      </c>
      <c r="H995" s="7">
        <f t="shared" si="45"/>
        <v>4</v>
      </c>
      <c r="I995" t="s">
        <v>49</v>
      </c>
      <c r="J995" t="s">
        <v>378</v>
      </c>
      <c r="K995" s="2">
        <v>4374.76</v>
      </c>
      <c r="L995" s="9">
        <v>0.9</v>
      </c>
      <c r="M995" s="15">
        <f t="shared" si="46"/>
        <v>3937.2840000000001</v>
      </c>
      <c r="N995" s="15">
        <f t="shared" si="47"/>
        <v>437.47600000000011</v>
      </c>
      <c r="O995" t="s">
        <v>25</v>
      </c>
    </row>
    <row r="996" spans="1:15" hidden="1" x14ac:dyDescent="0.35">
      <c r="A996" t="s">
        <v>1735</v>
      </c>
      <c r="B996" t="s">
        <v>1736</v>
      </c>
      <c r="C996">
        <v>51</v>
      </c>
      <c r="D996" s="8" t="str" cm="1">
        <f t="array" ref="D996">_xlfn.IFS(C996&lt;=2, "Infant", C996&lt;=11, "Child", C996&lt;=17, "Adolescent", C996&lt;=44, "Young Adult", C996&lt;=64, "Middle Aged", C996&lt;=84,"Young Old", C996&gt;=85,"Oldest Old")</f>
        <v>Middle Aged</v>
      </c>
      <c r="E996" t="s">
        <v>18</v>
      </c>
      <c r="F996" s="4">
        <v>45568</v>
      </c>
      <c r="G996" s="4">
        <v>45571</v>
      </c>
      <c r="H996" s="7">
        <f t="shared" si="45"/>
        <v>3</v>
      </c>
      <c r="I996" t="s">
        <v>13</v>
      </c>
      <c r="J996" t="s">
        <v>14</v>
      </c>
      <c r="K996" s="2">
        <v>7839.78</v>
      </c>
      <c r="L996" s="9">
        <v>0.9</v>
      </c>
      <c r="M996" s="15">
        <f t="shared" si="46"/>
        <v>7055.8019999999997</v>
      </c>
      <c r="N996" s="15">
        <f t="shared" si="47"/>
        <v>783.97800000000007</v>
      </c>
      <c r="O996" t="s">
        <v>20</v>
      </c>
    </row>
    <row r="997" spans="1:15" hidden="1" x14ac:dyDescent="0.35">
      <c r="A997" t="s">
        <v>1737</v>
      </c>
      <c r="B997" t="s">
        <v>746</v>
      </c>
      <c r="C997">
        <v>58</v>
      </c>
      <c r="D997" s="8" t="str" cm="1">
        <f t="array" ref="D997">_xlfn.IFS(C997&lt;=2, "Infant", C997&lt;=11, "Child", C997&lt;=17, "Adolescent", C997&lt;=44, "Young Adult", C997&lt;=64, "Middle Aged", C997&lt;=84,"Young Old", C997&gt;=85,"Oldest Old")</f>
        <v>Middle Aged</v>
      </c>
      <c r="E997" t="s">
        <v>12</v>
      </c>
      <c r="F997" s="4">
        <v>45817</v>
      </c>
      <c r="G997" s="4">
        <v>45821</v>
      </c>
      <c r="H997" s="7">
        <f t="shared" si="45"/>
        <v>4</v>
      </c>
      <c r="I997" t="s">
        <v>13</v>
      </c>
      <c r="J997" t="s">
        <v>102</v>
      </c>
      <c r="K997" s="2">
        <v>10021</v>
      </c>
      <c r="L997" s="9">
        <v>0.9</v>
      </c>
      <c r="M997" s="15">
        <f t="shared" si="46"/>
        <v>9018.9</v>
      </c>
      <c r="N997" s="15">
        <f t="shared" si="47"/>
        <v>1002.1000000000004</v>
      </c>
      <c r="O997" t="s">
        <v>15</v>
      </c>
    </row>
    <row r="998" spans="1:15" hidden="1" x14ac:dyDescent="0.35">
      <c r="A998" t="s">
        <v>1738</v>
      </c>
      <c r="B998" t="s">
        <v>256</v>
      </c>
      <c r="C998">
        <v>75</v>
      </c>
      <c r="D998" s="8" t="str" cm="1">
        <f t="array" ref="D998">_xlfn.IFS(C998&lt;=2, "Infant", C998&lt;=11, "Child", C998&lt;=17, "Adolescent", C998&lt;=44, "Young Adult", C998&lt;=64, "Middle Aged", C998&lt;=84,"Young Old", C998&gt;=85,"Oldest Old")</f>
        <v>Young Old</v>
      </c>
      <c r="E998" t="s">
        <v>12</v>
      </c>
      <c r="F998" s="4">
        <v>45939</v>
      </c>
      <c r="G998" s="4">
        <v>45944</v>
      </c>
      <c r="H998" s="7">
        <f t="shared" si="45"/>
        <v>5</v>
      </c>
      <c r="I998" t="s">
        <v>31</v>
      </c>
      <c r="J998" t="s">
        <v>234</v>
      </c>
      <c r="K998" s="2">
        <v>6377.65</v>
      </c>
      <c r="L998" s="9">
        <v>0.6</v>
      </c>
      <c r="M998" s="15">
        <f t="shared" si="46"/>
        <v>3826.5899999999997</v>
      </c>
      <c r="N998" s="15">
        <f t="shared" si="47"/>
        <v>2551.06</v>
      </c>
      <c r="O998" t="s">
        <v>20</v>
      </c>
    </row>
    <row r="999" spans="1:15" hidden="1" x14ac:dyDescent="0.35">
      <c r="A999" t="s">
        <v>1739</v>
      </c>
      <c r="B999" t="s">
        <v>454</v>
      </c>
      <c r="C999">
        <v>32</v>
      </c>
      <c r="D999" s="8" t="str" cm="1">
        <f t="array" ref="D999">_xlfn.IFS(C999&lt;=2, "Infant", C999&lt;=11, "Child", C999&lt;=17, "Adolescent", C999&lt;=44, "Young Adult", C999&lt;=64, "Middle Aged", C999&lt;=84,"Young Old", C999&gt;=85,"Oldest Old")</f>
        <v>Young Adult</v>
      </c>
      <c r="E999" t="s">
        <v>18</v>
      </c>
      <c r="F999" s="4">
        <v>45769</v>
      </c>
      <c r="G999" s="4">
        <v>45770</v>
      </c>
      <c r="H999" s="7">
        <f t="shared" si="45"/>
        <v>1</v>
      </c>
      <c r="I999" t="s">
        <v>23</v>
      </c>
      <c r="J999" t="s">
        <v>221</v>
      </c>
      <c r="K999" s="2">
        <v>1020.62</v>
      </c>
      <c r="L999" s="9">
        <v>0.6</v>
      </c>
      <c r="M999" s="15">
        <f t="shared" si="46"/>
        <v>612.37199999999996</v>
      </c>
      <c r="N999" s="15">
        <f t="shared" si="47"/>
        <v>408.24800000000005</v>
      </c>
      <c r="O999" t="s">
        <v>15</v>
      </c>
    </row>
    <row r="1000" spans="1:15" hidden="1" x14ac:dyDescent="0.35">
      <c r="A1000" t="s">
        <v>1740</v>
      </c>
      <c r="B1000" t="s">
        <v>1171</v>
      </c>
      <c r="C1000">
        <v>56</v>
      </c>
      <c r="D1000" s="8" t="str" cm="1">
        <f t="array" ref="D1000">_xlfn.IFS(C1000&lt;=2, "Infant", C1000&lt;=11, "Child", C1000&lt;=17, "Adolescent", C1000&lt;=44, "Young Adult", C1000&lt;=64, "Middle Aged", C1000&lt;=84,"Young Old", C1000&gt;=85,"Oldest Old")</f>
        <v>Middle Aged</v>
      </c>
      <c r="E1000" t="s">
        <v>12</v>
      </c>
      <c r="F1000" s="4">
        <v>45877</v>
      </c>
      <c r="G1000" s="4">
        <v>45878</v>
      </c>
      <c r="H1000" s="7">
        <f t="shared" si="45"/>
        <v>1</v>
      </c>
      <c r="I1000" t="s">
        <v>23</v>
      </c>
      <c r="J1000" t="s">
        <v>82</v>
      </c>
      <c r="K1000" s="2">
        <v>2315.06</v>
      </c>
      <c r="L1000" s="9">
        <v>0.7</v>
      </c>
      <c r="M1000" s="15">
        <f t="shared" si="46"/>
        <v>1620.5419999999999</v>
      </c>
      <c r="N1000" s="15">
        <f t="shared" si="47"/>
        <v>694.51800000000003</v>
      </c>
      <c r="O1000" t="s">
        <v>15</v>
      </c>
    </row>
    <row r="1001" spans="1:15" hidden="1" x14ac:dyDescent="0.35">
      <c r="A1001" t="s">
        <v>1741</v>
      </c>
      <c r="B1001" t="s">
        <v>1742</v>
      </c>
      <c r="C1001">
        <v>18</v>
      </c>
      <c r="D1001" s="8" t="str" cm="1">
        <f t="array" ref="D1001">_xlfn.IFS(C1001&lt;=2, "Infant", C1001&lt;=11, "Child", C1001&lt;=17, "Adolescent", C1001&lt;=44, "Young Adult", C1001&lt;=64, "Middle Aged", C1001&lt;=84,"Young Old", C1001&gt;=85,"Oldest Old")</f>
        <v>Young Adult</v>
      </c>
      <c r="E1001" t="s">
        <v>18</v>
      </c>
      <c r="F1001" s="4">
        <v>45349</v>
      </c>
      <c r="G1001" s="4">
        <v>45353</v>
      </c>
      <c r="H1001" s="7">
        <f t="shared" si="45"/>
        <v>4</v>
      </c>
      <c r="I1001" t="s">
        <v>31</v>
      </c>
      <c r="J1001" t="s">
        <v>87</v>
      </c>
      <c r="K1001" s="2">
        <v>2235.16</v>
      </c>
      <c r="L1001" s="9">
        <v>1</v>
      </c>
      <c r="M1001" s="15">
        <f t="shared" si="46"/>
        <v>2235.16</v>
      </c>
      <c r="N1001" s="15">
        <f t="shared" si="47"/>
        <v>0</v>
      </c>
      <c r="O1001" t="s">
        <v>25</v>
      </c>
    </row>
  </sheetData>
  <autoFilter ref="A1:P1001" xr:uid="{A107B72B-7BB4-48B0-9E8B-380C33034E4F}">
    <filterColumn colId="9">
      <filters>
        <filter val="Flu Complication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Hospital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Rex Emman</cp:lastModifiedBy>
  <dcterms:created xsi:type="dcterms:W3CDTF">2026-03-11T02:30:26Z</dcterms:created>
  <dcterms:modified xsi:type="dcterms:W3CDTF">2026-10-30T12:34:00Z</dcterms:modified>
</cp:coreProperties>
</file>